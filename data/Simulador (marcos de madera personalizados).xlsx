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66925"/>
  <mc:AlternateContent xmlns:mc="http://schemas.openxmlformats.org/markup-compatibility/2006">
    <mc:Choice Requires="x15">
      <x15ac:absPath xmlns:x15ac="http://schemas.microsoft.com/office/spreadsheetml/2010/11/ac" url="https://d.docs.live.net/f2d41a71af124389/Desktop/"/>
    </mc:Choice>
  </mc:AlternateContent>
  <xr:revisionPtr revIDLastSave="266" documentId="13_ncr:1_{028457CD-D290-4165-BA50-DFDE14888447}" xr6:coauthVersionLast="47" xr6:coauthVersionMax="47" xr10:uidLastSave="{7CCD852D-5E27-4DFD-8694-BFF5F083D80B}"/>
  <bookViews>
    <workbookView xWindow="-108" yWindow="-108" windowWidth="23256" windowHeight="13896" firstSheet="8" activeTab="8" xr2:uid="{E1967EA8-F387-4327-AA20-602A992E938F}"/>
  </bookViews>
  <sheets>
    <sheet name="Glosario" sheetId="11" r:id="rId1"/>
    <sheet name="Balances" sheetId="1" r:id="rId2"/>
    <sheet name="CT" sheetId="2" r:id="rId3"/>
    <sheet name="PD" sheetId="4" r:id="rId4"/>
    <sheet name="FC e Ix" sheetId="3" r:id="rId5"/>
    <sheet name="Sens" sheetId="5" r:id="rId6"/>
    <sheet name="EF" sheetId="14" r:id="rId7"/>
    <sheet name="RF" sheetId="8" r:id="rId8"/>
    <sheet name="Análisis DuPont" sheetId="15"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6" i="5" l="1"/>
  <c r="T5" i="5"/>
  <c r="T4" i="5"/>
  <c r="R7" i="5"/>
  <c r="R6" i="5"/>
  <c r="Q6" i="5"/>
  <c r="R5" i="5"/>
  <c r="Q5" i="5"/>
  <c r="P5" i="5"/>
  <c r="R3" i="5"/>
  <c r="Q8" i="5"/>
  <c r="P8" i="5"/>
  <c r="P7" i="5"/>
  <c r="O8" i="5"/>
  <c r="M8" i="5"/>
  <c r="O7" i="5"/>
  <c r="O6" i="5"/>
  <c r="B17" i="2"/>
  <c r="B16" i="2"/>
  <c r="B8" i="2"/>
  <c r="M36" i="3"/>
  <c r="B19" i="3"/>
  <c r="N22" i="4"/>
  <c r="M22" i="4"/>
  <c r="L22" i="4"/>
  <c r="K22" i="4"/>
  <c r="J22" i="4"/>
  <c r="I22" i="4"/>
  <c r="H22" i="4"/>
  <c r="G22" i="4"/>
  <c r="F22" i="4"/>
  <c r="C7" i="2" l="1"/>
  <c r="D7" i="2" s="1"/>
  <c r="E7" i="2" s="1"/>
  <c r="F7" i="2" s="1"/>
  <c r="C9" i="8"/>
  <c r="G7" i="2" l="1"/>
  <c r="H7" i="2" s="1"/>
  <c r="I7" i="2" s="1"/>
  <c r="J7" i="2" s="1"/>
  <c r="C37" i="8"/>
  <c r="D5" i="8"/>
  <c r="E5" i="8"/>
  <c r="F5" i="8"/>
  <c r="C40" i="8"/>
  <c r="C39" i="8"/>
  <c r="C38" i="8"/>
  <c r="D19" i="8"/>
  <c r="E19" i="8"/>
  <c r="F19" i="8"/>
  <c r="D20" i="8"/>
  <c r="E20" i="8"/>
  <c r="F20" i="8"/>
  <c r="D21" i="8"/>
  <c r="E21" i="8"/>
  <c r="F21" i="8"/>
  <c r="D22" i="8"/>
  <c r="E22" i="8"/>
  <c r="F22" i="8"/>
  <c r="D23" i="8"/>
  <c r="E23" i="8"/>
  <c r="F23" i="8"/>
  <c r="D26" i="8"/>
  <c r="E26" i="8"/>
  <c r="F26" i="8"/>
  <c r="D27" i="8"/>
  <c r="E27" i="8"/>
  <c r="F27" i="8"/>
  <c r="D28" i="8"/>
  <c r="E28" i="8"/>
  <c r="F28" i="8"/>
  <c r="C28" i="8"/>
  <c r="C27" i="8"/>
  <c r="C26" i="8"/>
  <c r="C23" i="8"/>
  <c r="C22" i="8"/>
  <c r="C21" i="8"/>
  <c r="C20" i="8"/>
  <c r="C19" i="8"/>
  <c r="D17" i="8"/>
  <c r="E17" i="8"/>
  <c r="F17" i="8"/>
  <c r="C17" i="8"/>
  <c r="D16" i="8"/>
  <c r="E16" i="8"/>
  <c r="F16" i="8"/>
  <c r="C16" i="8"/>
  <c r="D15" i="8"/>
  <c r="E15" i="8"/>
  <c r="F15" i="8"/>
  <c r="C15" i="8"/>
  <c r="C13" i="8"/>
  <c r="C14" i="8" s="1"/>
  <c r="D13" i="8"/>
  <c r="D14" i="8" s="1"/>
  <c r="E13" i="8"/>
  <c r="E14" i="8" s="1"/>
  <c r="F13" i="8"/>
  <c r="F14" i="8" s="1"/>
  <c r="D11" i="8"/>
  <c r="D12" i="8" s="1"/>
  <c r="E11" i="8"/>
  <c r="E12" i="8" s="1"/>
  <c r="F11" i="8"/>
  <c r="F12" i="8" s="1"/>
  <c r="C11" i="8"/>
  <c r="C12" i="8" s="1"/>
  <c r="D9" i="8"/>
  <c r="E9" i="8"/>
  <c r="F9" i="8"/>
  <c r="D8" i="8"/>
  <c r="E8" i="8"/>
  <c r="F8" i="8"/>
  <c r="C8" i="8"/>
  <c r="D7" i="8"/>
  <c r="E7" i="8"/>
  <c r="F7" i="8"/>
  <c r="C7" i="8"/>
  <c r="D6" i="8"/>
  <c r="E6" i="8"/>
  <c r="F6" i="8"/>
  <c r="C6" i="8"/>
  <c r="C5" i="8"/>
  <c r="B32" i="2" l="1"/>
  <c r="K7" i="2" l="1"/>
  <c r="L7" i="2" s="1"/>
  <c r="M7" i="2" s="1"/>
  <c r="D15" i="4"/>
  <c r="D16" i="4"/>
  <c r="D17" i="4"/>
  <c r="D18" i="4"/>
  <c r="D19" i="4"/>
  <c r="D20" i="4"/>
  <c r="D21" i="4"/>
  <c r="D24" i="4"/>
  <c r="D25" i="4"/>
  <c r="D7" i="4"/>
  <c r="D8" i="4"/>
  <c r="D9" i="4"/>
  <c r="D10" i="4"/>
  <c r="D11" i="4"/>
  <c r="D12" i="4"/>
  <c r="D13" i="4"/>
  <c r="D14" i="4"/>
  <c r="B7" i="4"/>
  <c r="B8" i="4"/>
  <c r="B9" i="4"/>
  <c r="B10" i="4"/>
  <c r="B11" i="4"/>
  <c r="B12" i="4"/>
  <c r="B13" i="4"/>
  <c r="B14" i="4"/>
  <c r="B15" i="4"/>
  <c r="B16" i="4"/>
  <c r="B17" i="4"/>
  <c r="B18" i="4"/>
  <c r="B19" i="4"/>
  <c r="B20" i="4"/>
  <c r="B21" i="4"/>
  <c r="B22" i="4"/>
  <c r="B23" i="4"/>
  <c r="B24" i="4"/>
  <c r="B25" i="4"/>
  <c r="B6" i="4"/>
  <c r="C8" i="2"/>
  <c r="Q8" i="2" s="1"/>
  <c r="AE8" i="2" s="1"/>
  <c r="AS8" i="2" s="1"/>
  <c r="BG8" i="2" s="1"/>
  <c r="BU8" i="2" s="1"/>
  <c r="CI8" i="2" s="1"/>
  <c r="CW8" i="2" s="1"/>
  <c r="DK8" i="2" s="1"/>
  <c r="DY8" i="2" s="1"/>
  <c r="Q7" i="2"/>
  <c r="AE7" i="2" s="1"/>
  <c r="P16" i="2"/>
  <c r="AD16" i="2" s="1"/>
  <c r="AR16" i="2" s="1"/>
  <c r="BF16" i="2" s="1"/>
  <c r="BT16" i="2" s="1"/>
  <c r="CH16" i="2" s="1"/>
  <c r="CV16" i="2" s="1"/>
  <c r="DJ16" i="2" s="1"/>
  <c r="DX16" i="2" s="1"/>
  <c r="C53" i="2"/>
  <c r="D53" i="2" s="1"/>
  <c r="C50" i="2"/>
  <c r="Q50" i="2" s="1"/>
  <c r="AE50" i="2" s="1"/>
  <c r="AS50" i="2" s="1"/>
  <c r="BG50" i="2" s="1"/>
  <c r="BU50" i="2" s="1"/>
  <c r="CI50" i="2" s="1"/>
  <c r="CW50" i="2" s="1"/>
  <c r="DK50" i="2" s="1"/>
  <c r="DY50" i="2" s="1"/>
  <c r="C44" i="2"/>
  <c r="D44" i="2" s="1"/>
  <c r="C45" i="2"/>
  <c r="D45" i="2" s="1"/>
  <c r="C46" i="2"/>
  <c r="D46" i="2" s="1"/>
  <c r="C47" i="2"/>
  <c r="D47" i="2" s="1"/>
  <c r="C48" i="2"/>
  <c r="D48" i="2" s="1"/>
  <c r="E48" i="2" s="1"/>
  <c r="C43" i="2"/>
  <c r="D43" i="2" s="1"/>
  <c r="E43" i="2" s="1"/>
  <c r="C37" i="2"/>
  <c r="Q37" i="2" s="1"/>
  <c r="AE37" i="2" s="1"/>
  <c r="AS37" i="2" s="1"/>
  <c r="BG37" i="2" s="1"/>
  <c r="BU37" i="2" s="1"/>
  <c r="CI37" i="2" s="1"/>
  <c r="CW37" i="2" s="1"/>
  <c r="DK37" i="2" s="1"/>
  <c r="DY37" i="2" s="1"/>
  <c r="C38" i="2"/>
  <c r="D38" i="2" s="1"/>
  <c r="C39" i="2"/>
  <c r="D39" i="2" s="1"/>
  <c r="C40" i="2"/>
  <c r="D40" i="2" s="1"/>
  <c r="E40" i="2" s="1"/>
  <c r="C36" i="2"/>
  <c r="Q36" i="2" s="1"/>
  <c r="AE36" i="2" s="1"/>
  <c r="AS36" i="2" s="1"/>
  <c r="C33" i="2"/>
  <c r="D33" i="2" s="1"/>
  <c r="C51" i="2"/>
  <c r="Q51" i="2" s="1"/>
  <c r="AE51" i="2" s="1"/>
  <c r="C34" i="2"/>
  <c r="D34" i="2" s="1"/>
  <c r="C32" i="2"/>
  <c r="D32" i="2" s="1"/>
  <c r="C31" i="2"/>
  <c r="D31" i="2" s="1"/>
  <c r="C29" i="2"/>
  <c r="D29" i="2" s="1"/>
  <c r="E29" i="2" s="1"/>
  <c r="C28" i="2"/>
  <c r="D28" i="2" s="1"/>
  <c r="C27" i="2"/>
  <c r="D27" i="2" s="1"/>
  <c r="C25" i="2"/>
  <c r="Q25" i="2" s="1"/>
  <c r="AE25" i="2" s="1"/>
  <c r="AS25" i="2" s="1"/>
  <c r="BG25" i="2" s="1"/>
  <c r="BU25" i="2" s="1"/>
  <c r="CI25" i="2" s="1"/>
  <c r="CW25" i="2" s="1"/>
  <c r="DK25" i="2" s="1"/>
  <c r="DY25" i="2" s="1"/>
  <c r="C24" i="2"/>
  <c r="D24" i="2" s="1"/>
  <c r="E24" i="2" s="1"/>
  <c r="F24" i="2" s="1"/>
  <c r="G24" i="2" s="1"/>
  <c r="H24" i="2" s="1"/>
  <c r="I24" i="2" s="1"/>
  <c r="J24" i="2" s="1"/>
  <c r="X24" i="2" s="1"/>
  <c r="AL24" i="2" s="1"/>
  <c r="AZ24" i="2" s="1"/>
  <c r="BN24" i="2" s="1"/>
  <c r="CB24" i="2" s="1"/>
  <c r="CP24" i="2" s="1"/>
  <c r="DD24" i="2" s="1"/>
  <c r="DR24" i="2" s="1"/>
  <c r="EF24" i="2" s="1"/>
  <c r="C23" i="2"/>
  <c r="D23" i="2" s="1"/>
  <c r="C22" i="2"/>
  <c r="D22" i="2" s="1"/>
  <c r="C21" i="2"/>
  <c r="D21" i="2" s="1"/>
  <c r="C20" i="2"/>
  <c r="Q20" i="2" s="1"/>
  <c r="AE20" i="2" s="1"/>
  <c r="AS20" i="2" s="1"/>
  <c r="BG20" i="2" s="1"/>
  <c r="BU20" i="2" s="1"/>
  <c r="CI20" i="2" s="1"/>
  <c r="CW20" i="2" s="1"/>
  <c r="DK20" i="2" s="1"/>
  <c r="DY20" i="2" s="1"/>
  <c r="C19" i="2"/>
  <c r="D19" i="2" s="1"/>
  <c r="C18" i="2"/>
  <c r="Q18" i="2" s="1"/>
  <c r="AE18" i="2" s="1"/>
  <c r="AS18" i="2" s="1"/>
  <c r="BG18" i="2" s="1"/>
  <c r="BU18" i="2" s="1"/>
  <c r="CI18" i="2" s="1"/>
  <c r="CW18" i="2" s="1"/>
  <c r="DK18" i="2" s="1"/>
  <c r="DY18" i="2" s="1"/>
  <c r="C17" i="2"/>
  <c r="Q17" i="2" s="1"/>
  <c r="AE17" i="2" s="1"/>
  <c r="AS17" i="2" s="1"/>
  <c r="BG17" i="2" s="1"/>
  <c r="BU17" i="2" s="1"/>
  <c r="CI17" i="2" s="1"/>
  <c r="CW17" i="2" s="1"/>
  <c r="DK17" i="2" s="1"/>
  <c r="DY17" i="2" s="1"/>
  <c r="C16" i="2"/>
  <c r="Q16" i="2" s="1"/>
  <c r="AE16" i="2" s="1"/>
  <c r="AS16" i="2" s="1"/>
  <c r="BG16" i="2" s="1"/>
  <c r="BU16" i="2" s="1"/>
  <c r="CI16" i="2" s="1"/>
  <c r="CW16" i="2" s="1"/>
  <c r="DK16" i="2" s="1"/>
  <c r="DY16" i="2" s="1"/>
  <c r="P53" i="2"/>
  <c r="P50" i="2"/>
  <c r="AD50" i="2" s="1"/>
  <c r="AR50" i="2" s="1"/>
  <c r="BF50" i="2" s="1"/>
  <c r="BT50" i="2" s="1"/>
  <c r="CH50" i="2" s="1"/>
  <c r="CV50" i="2" s="1"/>
  <c r="DJ50" i="2" s="1"/>
  <c r="DX50" i="2" s="1"/>
  <c r="P48" i="2"/>
  <c r="AD48" i="2" s="1"/>
  <c r="AR48" i="2" s="1"/>
  <c r="BF48" i="2" s="1"/>
  <c r="BT48" i="2" s="1"/>
  <c r="CH48" i="2" s="1"/>
  <c r="CV48" i="2" s="1"/>
  <c r="DJ48" i="2" s="1"/>
  <c r="DX48" i="2" s="1"/>
  <c r="P47" i="2"/>
  <c r="AD47" i="2" s="1"/>
  <c r="P46" i="2"/>
  <c r="AD46" i="2" s="1"/>
  <c r="AR46" i="2" s="1"/>
  <c r="BF46" i="2" s="1"/>
  <c r="BT46" i="2" s="1"/>
  <c r="CH46" i="2" s="1"/>
  <c r="CV46" i="2" s="1"/>
  <c r="DJ46" i="2" s="1"/>
  <c r="DX46" i="2" s="1"/>
  <c r="P45" i="2"/>
  <c r="AD45" i="2" s="1"/>
  <c r="AR45" i="2" s="1"/>
  <c r="BF45" i="2" s="1"/>
  <c r="BT45" i="2" s="1"/>
  <c r="CH45" i="2" s="1"/>
  <c r="CV45" i="2" s="1"/>
  <c r="DJ45" i="2" s="1"/>
  <c r="DX45" i="2" s="1"/>
  <c r="P44" i="2"/>
  <c r="AD44" i="2" s="1"/>
  <c r="AR44" i="2" s="1"/>
  <c r="BF44" i="2" s="1"/>
  <c r="BT44" i="2" s="1"/>
  <c r="CH44" i="2" s="1"/>
  <c r="CV44" i="2" s="1"/>
  <c r="DJ44" i="2" s="1"/>
  <c r="DX44" i="2" s="1"/>
  <c r="P43" i="2"/>
  <c r="AD43" i="2" s="1"/>
  <c r="AR43" i="2" s="1"/>
  <c r="BF43" i="2" s="1"/>
  <c r="BT43" i="2" s="1"/>
  <c r="CH43" i="2" s="1"/>
  <c r="CV43" i="2" s="1"/>
  <c r="DJ43" i="2" s="1"/>
  <c r="DX43" i="2" s="1"/>
  <c r="P40" i="2"/>
  <c r="AD40" i="2" s="1"/>
  <c r="AR40" i="2" s="1"/>
  <c r="BF40" i="2" s="1"/>
  <c r="BT40" i="2" s="1"/>
  <c r="CH40" i="2" s="1"/>
  <c r="CV40" i="2" s="1"/>
  <c r="DJ40" i="2" s="1"/>
  <c r="DX40" i="2" s="1"/>
  <c r="P39" i="2"/>
  <c r="AD39" i="2" s="1"/>
  <c r="AR39" i="2" s="1"/>
  <c r="BF39" i="2" s="1"/>
  <c r="BT39" i="2" s="1"/>
  <c r="CH39" i="2" s="1"/>
  <c r="CV39" i="2" s="1"/>
  <c r="DJ39" i="2" s="1"/>
  <c r="DX39" i="2" s="1"/>
  <c r="P38" i="2"/>
  <c r="AD38" i="2" s="1"/>
  <c r="AR38" i="2" s="1"/>
  <c r="BF38" i="2" s="1"/>
  <c r="BT38" i="2" s="1"/>
  <c r="CH38" i="2" s="1"/>
  <c r="CV38" i="2" s="1"/>
  <c r="DJ38" i="2" s="1"/>
  <c r="DX38" i="2" s="1"/>
  <c r="P37" i="2"/>
  <c r="AD37" i="2" s="1"/>
  <c r="AR37" i="2" s="1"/>
  <c r="BF37" i="2" s="1"/>
  <c r="BT37" i="2" s="1"/>
  <c r="CH37" i="2" s="1"/>
  <c r="CV37" i="2" s="1"/>
  <c r="DJ37" i="2" s="1"/>
  <c r="DX37" i="2" s="1"/>
  <c r="P36" i="2"/>
  <c r="AD36" i="2" s="1"/>
  <c r="AR36" i="2" s="1"/>
  <c r="BF36" i="2" s="1"/>
  <c r="BT36" i="2" s="1"/>
  <c r="CH36" i="2" s="1"/>
  <c r="CV36" i="2" s="1"/>
  <c r="DJ36" i="2" s="1"/>
  <c r="DX36" i="2" s="1"/>
  <c r="P33" i="2"/>
  <c r="AD33" i="2" s="1"/>
  <c r="AR33" i="2" s="1"/>
  <c r="BF33" i="2" s="1"/>
  <c r="BT33" i="2" s="1"/>
  <c r="CH33" i="2" s="1"/>
  <c r="CV33" i="2" s="1"/>
  <c r="DJ33" i="2" s="1"/>
  <c r="DX33" i="2" s="1"/>
  <c r="P29" i="2"/>
  <c r="AD29" i="2" s="1"/>
  <c r="AR29" i="2" s="1"/>
  <c r="BF29" i="2" s="1"/>
  <c r="BT29" i="2" s="1"/>
  <c r="CH29" i="2" s="1"/>
  <c r="CV29" i="2" s="1"/>
  <c r="DJ29" i="2" s="1"/>
  <c r="DX29" i="2" s="1"/>
  <c r="P28" i="2"/>
  <c r="AD28" i="2" s="1"/>
  <c r="AR28" i="2" s="1"/>
  <c r="BF28" i="2" s="1"/>
  <c r="BT28" i="2" s="1"/>
  <c r="CH28" i="2" s="1"/>
  <c r="CV28" i="2" s="1"/>
  <c r="DJ28" i="2" s="1"/>
  <c r="DX28" i="2" s="1"/>
  <c r="P27" i="2"/>
  <c r="AD27" i="2" s="1"/>
  <c r="AR27" i="2" s="1"/>
  <c r="BF27" i="2" s="1"/>
  <c r="BT27" i="2" s="1"/>
  <c r="CH27" i="2" s="1"/>
  <c r="CV27" i="2" s="1"/>
  <c r="DJ27" i="2" s="1"/>
  <c r="DX27" i="2" s="1"/>
  <c r="AP10" i="2"/>
  <c r="E10" i="3" s="1"/>
  <c r="Q53" i="2"/>
  <c r="AE53" i="2" s="1"/>
  <c r="AE52" i="2" s="1"/>
  <c r="P51" i="2"/>
  <c r="AD51" i="2" s="1"/>
  <c r="AR51" i="2" s="1"/>
  <c r="BF51" i="2" s="1"/>
  <c r="BT51" i="2" s="1"/>
  <c r="CH51" i="2" s="1"/>
  <c r="CV51" i="2" s="1"/>
  <c r="DJ51" i="2" s="1"/>
  <c r="DX51" i="2" s="1"/>
  <c r="P34" i="2"/>
  <c r="AD34" i="2" s="1"/>
  <c r="AR34" i="2" s="1"/>
  <c r="BF34" i="2" s="1"/>
  <c r="BT34" i="2" s="1"/>
  <c r="CH34" i="2" s="1"/>
  <c r="CV34" i="2" s="1"/>
  <c r="DJ34" i="2" s="1"/>
  <c r="DX34" i="2" s="1"/>
  <c r="P32" i="2"/>
  <c r="AD32" i="2" s="1"/>
  <c r="AR32" i="2" s="1"/>
  <c r="BF32" i="2" s="1"/>
  <c r="BT32" i="2" s="1"/>
  <c r="CH32" i="2" s="1"/>
  <c r="CV32" i="2" s="1"/>
  <c r="DJ32" i="2" s="1"/>
  <c r="DX32" i="2" s="1"/>
  <c r="P31" i="2"/>
  <c r="AD31" i="2" s="1"/>
  <c r="AR31" i="2" s="1"/>
  <c r="BF31" i="2" s="1"/>
  <c r="BT31" i="2" s="1"/>
  <c r="CH31" i="2" s="1"/>
  <c r="CV31" i="2" s="1"/>
  <c r="DJ31" i="2" s="1"/>
  <c r="DX31" i="2" s="1"/>
  <c r="P25" i="2"/>
  <c r="AD25" i="2" s="1"/>
  <c r="AR25" i="2" s="1"/>
  <c r="BF25" i="2" s="1"/>
  <c r="BT25" i="2" s="1"/>
  <c r="CH25" i="2" s="1"/>
  <c r="CV25" i="2" s="1"/>
  <c r="DJ25" i="2" s="1"/>
  <c r="DX25" i="2" s="1"/>
  <c r="P24" i="2"/>
  <c r="AD24" i="2" s="1"/>
  <c r="AR24" i="2" s="1"/>
  <c r="BF24" i="2" s="1"/>
  <c r="BT24" i="2" s="1"/>
  <c r="CH24" i="2" s="1"/>
  <c r="CV24" i="2" s="1"/>
  <c r="DJ24" i="2" s="1"/>
  <c r="DX24" i="2" s="1"/>
  <c r="P23" i="2"/>
  <c r="AD23" i="2" s="1"/>
  <c r="AR23" i="2" s="1"/>
  <c r="BF23" i="2" s="1"/>
  <c r="BT23" i="2" s="1"/>
  <c r="CH23" i="2" s="1"/>
  <c r="CV23" i="2" s="1"/>
  <c r="DJ23" i="2" s="1"/>
  <c r="DX23" i="2" s="1"/>
  <c r="P22" i="2"/>
  <c r="AD22" i="2" s="1"/>
  <c r="AR22" i="2" s="1"/>
  <c r="BF22" i="2" s="1"/>
  <c r="BT22" i="2" s="1"/>
  <c r="CH22" i="2" s="1"/>
  <c r="CV22" i="2" s="1"/>
  <c r="DJ22" i="2" s="1"/>
  <c r="DX22" i="2" s="1"/>
  <c r="P21" i="2"/>
  <c r="AD21" i="2" s="1"/>
  <c r="AR21" i="2" s="1"/>
  <c r="BF21" i="2" s="1"/>
  <c r="BT21" i="2" s="1"/>
  <c r="CH21" i="2" s="1"/>
  <c r="CV21" i="2" s="1"/>
  <c r="DJ21" i="2" s="1"/>
  <c r="DX21" i="2" s="1"/>
  <c r="P20" i="2"/>
  <c r="AD20" i="2" s="1"/>
  <c r="AR20" i="2" s="1"/>
  <c r="BF20" i="2" s="1"/>
  <c r="BT20" i="2" s="1"/>
  <c r="CH20" i="2" s="1"/>
  <c r="CV20" i="2" s="1"/>
  <c r="DJ20" i="2" s="1"/>
  <c r="DX20" i="2" s="1"/>
  <c r="P19" i="2"/>
  <c r="AD19" i="2" s="1"/>
  <c r="AR19" i="2" s="1"/>
  <c r="BF19" i="2" s="1"/>
  <c r="BT19" i="2" s="1"/>
  <c r="CH19" i="2" s="1"/>
  <c r="CV19" i="2" s="1"/>
  <c r="DJ19" i="2" s="1"/>
  <c r="DX19" i="2" s="1"/>
  <c r="P18" i="2"/>
  <c r="AD18" i="2" s="1"/>
  <c r="AR18" i="2" s="1"/>
  <c r="BF18" i="2" s="1"/>
  <c r="BT18" i="2" s="1"/>
  <c r="CH18" i="2" s="1"/>
  <c r="CV18" i="2" s="1"/>
  <c r="DJ18" i="2" s="1"/>
  <c r="DX18" i="2" s="1"/>
  <c r="P17" i="2"/>
  <c r="AD17" i="2" s="1"/>
  <c r="AR17" i="2" s="1"/>
  <c r="BF17" i="2" s="1"/>
  <c r="BT17" i="2" s="1"/>
  <c r="CH17" i="2" s="1"/>
  <c r="CV17" i="2" s="1"/>
  <c r="DJ17" i="2" s="1"/>
  <c r="DX17" i="2" s="1"/>
  <c r="P8" i="2"/>
  <c r="AD8" i="2" s="1"/>
  <c r="AR8" i="2" s="1"/>
  <c r="BF8" i="2" s="1"/>
  <c r="BT8" i="2" s="1"/>
  <c r="CH8" i="2" s="1"/>
  <c r="CV8" i="2" s="1"/>
  <c r="DJ8" i="2" s="1"/>
  <c r="DX8" i="2" s="1"/>
  <c r="P7" i="2"/>
  <c r="AD7" i="2" s="1"/>
  <c r="EJ10" i="2"/>
  <c r="L10" i="3" s="1"/>
  <c r="DV10" i="2"/>
  <c r="K10" i="3" s="1"/>
  <c r="DH10" i="2"/>
  <c r="J10" i="3" s="1"/>
  <c r="CT10" i="2"/>
  <c r="I10" i="3" s="1"/>
  <c r="CF10" i="2"/>
  <c r="H10" i="3" s="1"/>
  <c r="BR10" i="2"/>
  <c r="G10" i="3" s="1"/>
  <c r="BD10" i="2"/>
  <c r="F10" i="3" s="1"/>
  <c r="Q40" i="2" l="1"/>
  <c r="AE40" i="2" s="1"/>
  <c r="AS40" i="2" s="1"/>
  <c r="BG40" i="2" s="1"/>
  <c r="BU40" i="2" s="1"/>
  <c r="CI40" i="2" s="1"/>
  <c r="CW40" i="2" s="1"/>
  <c r="DK40" i="2" s="1"/>
  <c r="DY40" i="2" s="1"/>
  <c r="Q27" i="2"/>
  <c r="AE27" i="2" s="1"/>
  <c r="AS27" i="2" s="1"/>
  <c r="Q39" i="2"/>
  <c r="AE39" i="2" s="1"/>
  <c r="AS39" i="2" s="1"/>
  <c r="BG39" i="2" s="1"/>
  <c r="BU39" i="2" s="1"/>
  <c r="CI39" i="2" s="1"/>
  <c r="CW39" i="2" s="1"/>
  <c r="DK39" i="2" s="1"/>
  <c r="DY39" i="2" s="1"/>
  <c r="Q45" i="2"/>
  <c r="AE45" i="2" s="1"/>
  <c r="AS45" i="2" s="1"/>
  <c r="BG45" i="2" s="1"/>
  <c r="BU45" i="2" s="1"/>
  <c r="CI45" i="2" s="1"/>
  <c r="CW45" i="2" s="1"/>
  <c r="DK45" i="2" s="1"/>
  <c r="DY45" i="2" s="1"/>
  <c r="Q43" i="2"/>
  <c r="AE43" i="2" s="1"/>
  <c r="AS43" i="2" s="1"/>
  <c r="BG43" i="2" s="1"/>
  <c r="BU43" i="2" s="1"/>
  <c r="CI43" i="2" s="1"/>
  <c r="CW43" i="2" s="1"/>
  <c r="DK43" i="2" s="1"/>
  <c r="DY43" i="2" s="1"/>
  <c r="Q47" i="2"/>
  <c r="AE47" i="2" s="1"/>
  <c r="AS47" i="2" s="1"/>
  <c r="BG47" i="2" s="1"/>
  <c r="BU47" i="2" s="1"/>
  <c r="CI47" i="2" s="1"/>
  <c r="CW47" i="2" s="1"/>
  <c r="DK47" i="2" s="1"/>
  <c r="DY47" i="2" s="1"/>
  <c r="D37" i="2"/>
  <c r="E37" i="2" s="1"/>
  <c r="F37" i="2" s="1"/>
  <c r="Q34" i="2"/>
  <c r="AE34" i="2" s="1"/>
  <c r="AS34" i="2" s="1"/>
  <c r="BG34" i="2" s="1"/>
  <c r="BU34" i="2" s="1"/>
  <c r="CI34" i="2" s="1"/>
  <c r="CW34" i="2" s="1"/>
  <c r="DK34" i="2" s="1"/>
  <c r="DY34" i="2" s="1"/>
  <c r="D51" i="2"/>
  <c r="E51" i="2" s="1"/>
  <c r="F51" i="2" s="1"/>
  <c r="R24" i="2"/>
  <c r="AF24" i="2" s="1"/>
  <c r="AT24" i="2" s="1"/>
  <c r="BH24" i="2" s="1"/>
  <c r="BV24" i="2" s="1"/>
  <c r="CJ24" i="2" s="1"/>
  <c r="CX24" i="2" s="1"/>
  <c r="DL24" i="2" s="1"/>
  <c r="DZ24" i="2" s="1"/>
  <c r="Q48" i="2"/>
  <c r="AE48" i="2" s="1"/>
  <c r="AS48" i="2" s="1"/>
  <c r="BG48" i="2" s="1"/>
  <c r="D8" i="2"/>
  <c r="E8" i="2" s="1"/>
  <c r="S8" i="2" s="1"/>
  <c r="AG8" i="2" s="1"/>
  <c r="AU8" i="2" s="1"/>
  <c r="BI8" i="2" s="1"/>
  <c r="BW8" i="2" s="1"/>
  <c r="CK8" i="2" s="1"/>
  <c r="CY8" i="2" s="1"/>
  <c r="DM8" i="2" s="1"/>
  <c r="EA8" i="2" s="1"/>
  <c r="AS7" i="2"/>
  <c r="BG7" i="2" s="1"/>
  <c r="BU7" i="2" s="1"/>
  <c r="CI7" i="2" s="1"/>
  <c r="CW7" i="2" s="1"/>
  <c r="DK7" i="2" s="1"/>
  <c r="DY7" i="2" s="1"/>
  <c r="DY9" i="2" s="1"/>
  <c r="DY11" i="2" s="1"/>
  <c r="DY57" i="2" s="1"/>
  <c r="AE9" i="2"/>
  <c r="AE11" i="2" s="1"/>
  <c r="AE57" i="2" s="1"/>
  <c r="V24" i="2"/>
  <c r="AJ24" i="2" s="1"/>
  <c r="AX24" i="2" s="1"/>
  <c r="BL24" i="2" s="1"/>
  <c r="BZ24" i="2" s="1"/>
  <c r="CN24" i="2" s="1"/>
  <c r="DB24" i="2" s="1"/>
  <c r="DP24" i="2" s="1"/>
  <c r="ED24" i="2" s="1"/>
  <c r="Q21" i="2"/>
  <c r="AE21" i="2" s="1"/>
  <c r="AS21" i="2" s="1"/>
  <c r="BG21" i="2" s="1"/>
  <c r="BU21" i="2" s="1"/>
  <c r="CI21" i="2" s="1"/>
  <c r="CW21" i="2" s="1"/>
  <c r="DK21" i="2" s="1"/>
  <c r="DY21" i="2" s="1"/>
  <c r="R53" i="2"/>
  <c r="AF53" i="2" s="1"/>
  <c r="AF52" i="2" s="1"/>
  <c r="E53" i="2"/>
  <c r="F53" i="2" s="1"/>
  <c r="T53" i="2" s="1"/>
  <c r="AH53" i="2" s="1"/>
  <c r="AV53" i="2" s="1"/>
  <c r="BJ53" i="2" s="1"/>
  <c r="D50" i="2"/>
  <c r="R48" i="2"/>
  <c r="AF48" i="2" s="1"/>
  <c r="AT48" i="2" s="1"/>
  <c r="BH48" i="2" s="1"/>
  <c r="BV48" i="2" s="1"/>
  <c r="CJ48" i="2" s="1"/>
  <c r="CX48" i="2" s="1"/>
  <c r="DL48" i="2" s="1"/>
  <c r="DZ48" i="2" s="1"/>
  <c r="R47" i="2"/>
  <c r="AF47" i="2" s="1"/>
  <c r="AT47" i="2" s="1"/>
  <c r="BH47" i="2" s="1"/>
  <c r="BV47" i="2" s="1"/>
  <c r="CJ47" i="2" s="1"/>
  <c r="CX47" i="2" s="1"/>
  <c r="DL47" i="2" s="1"/>
  <c r="DZ47" i="2" s="1"/>
  <c r="E47" i="2"/>
  <c r="E46" i="2"/>
  <c r="F46" i="2" s="1"/>
  <c r="T46" i="2" s="1"/>
  <c r="AH46" i="2" s="1"/>
  <c r="AV46" i="2" s="1"/>
  <c r="BJ46" i="2" s="1"/>
  <c r="BX46" i="2" s="1"/>
  <c r="CL46" i="2" s="1"/>
  <c r="CZ46" i="2" s="1"/>
  <c r="DN46" i="2" s="1"/>
  <c r="EB46" i="2" s="1"/>
  <c r="R46" i="2"/>
  <c r="AF46" i="2" s="1"/>
  <c r="AT46" i="2" s="1"/>
  <c r="BH46" i="2" s="1"/>
  <c r="BV46" i="2" s="1"/>
  <c r="CJ46" i="2" s="1"/>
  <c r="CX46" i="2" s="1"/>
  <c r="DL46" i="2" s="1"/>
  <c r="DZ46" i="2" s="1"/>
  <c r="Q46" i="2"/>
  <c r="AE46" i="2" s="1"/>
  <c r="AS46" i="2" s="1"/>
  <c r="BG46" i="2" s="1"/>
  <c r="BU46" i="2" s="1"/>
  <c r="CI46" i="2" s="1"/>
  <c r="CW46" i="2" s="1"/>
  <c r="DK46" i="2" s="1"/>
  <c r="DY46" i="2" s="1"/>
  <c r="E45" i="2"/>
  <c r="S45" i="2" s="1"/>
  <c r="AG45" i="2" s="1"/>
  <c r="AU45" i="2" s="1"/>
  <c r="BI45" i="2" s="1"/>
  <c r="BW45" i="2" s="1"/>
  <c r="CK45" i="2" s="1"/>
  <c r="CY45" i="2" s="1"/>
  <c r="DM45" i="2" s="1"/>
  <c r="EA45" i="2" s="1"/>
  <c r="R45" i="2"/>
  <c r="AF45" i="2" s="1"/>
  <c r="AT45" i="2" s="1"/>
  <c r="BH45" i="2" s="1"/>
  <c r="BV45" i="2" s="1"/>
  <c r="E44" i="2"/>
  <c r="F44" i="2" s="1"/>
  <c r="R44" i="2"/>
  <c r="AF44" i="2" s="1"/>
  <c r="AT44" i="2" s="1"/>
  <c r="Q44" i="2"/>
  <c r="AE44" i="2" s="1"/>
  <c r="AS44" i="2" s="1"/>
  <c r="BG44" i="2" s="1"/>
  <c r="BU44" i="2" s="1"/>
  <c r="CI44" i="2" s="1"/>
  <c r="CW44" i="2" s="1"/>
  <c r="DK44" i="2" s="1"/>
  <c r="DY44" i="2" s="1"/>
  <c r="F43" i="2"/>
  <c r="G43" i="2" s="1"/>
  <c r="S43" i="2"/>
  <c r="AG43" i="2" s="1"/>
  <c r="AU43" i="2" s="1"/>
  <c r="BI43" i="2" s="1"/>
  <c r="BW43" i="2" s="1"/>
  <c r="CK43" i="2" s="1"/>
  <c r="CY43" i="2" s="1"/>
  <c r="DM43" i="2" s="1"/>
  <c r="EA43" i="2" s="1"/>
  <c r="R43" i="2"/>
  <c r="AF43" i="2" s="1"/>
  <c r="AT43" i="2" s="1"/>
  <c r="BH43" i="2" s="1"/>
  <c r="BV43" i="2" s="1"/>
  <c r="CJ43" i="2" s="1"/>
  <c r="CX43" i="2" s="1"/>
  <c r="DL43" i="2" s="1"/>
  <c r="DZ43" i="2" s="1"/>
  <c r="R40" i="2"/>
  <c r="AF40" i="2" s="1"/>
  <c r="AT40" i="2" s="1"/>
  <c r="BH40" i="2" s="1"/>
  <c r="BV40" i="2" s="1"/>
  <c r="CJ40" i="2" s="1"/>
  <c r="CX40" i="2" s="1"/>
  <c r="DL40" i="2" s="1"/>
  <c r="DZ40" i="2" s="1"/>
  <c r="R39" i="2"/>
  <c r="AF39" i="2" s="1"/>
  <c r="AT39" i="2" s="1"/>
  <c r="BH39" i="2" s="1"/>
  <c r="BV39" i="2" s="1"/>
  <c r="CJ39" i="2" s="1"/>
  <c r="CX39" i="2" s="1"/>
  <c r="DL39" i="2" s="1"/>
  <c r="DZ39" i="2" s="1"/>
  <c r="E39" i="2"/>
  <c r="F39" i="2" s="1"/>
  <c r="T39" i="2" s="1"/>
  <c r="AH39" i="2" s="1"/>
  <c r="AV39" i="2" s="1"/>
  <c r="BJ39" i="2" s="1"/>
  <c r="BX39" i="2" s="1"/>
  <c r="CL39" i="2" s="1"/>
  <c r="CZ39" i="2" s="1"/>
  <c r="DN39" i="2" s="1"/>
  <c r="EB39" i="2" s="1"/>
  <c r="E38" i="2"/>
  <c r="S38" i="2" s="1"/>
  <c r="AG38" i="2" s="1"/>
  <c r="AU38" i="2" s="1"/>
  <c r="BI38" i="2" s="1"/>
  <c r="BW38" i="2" s="1"/>
  <c r="CK38" i="2" s="1"/>
  <c r="CY38" i="2" s="1"/>
  <c r="DM38" i="2" s="1"/>
  <c r="EA38" i="2" s="1"/>
  <c r="R38" i="2"/>
  <c r="AF38" i="2" s="1"/>
  <c r="AT38" i="2" s="1"/>
  <c r="BH38" i="2" s="1"/>
  <c r="Q38" i="2"/>
  <c r="AE38" i="2" s="1"/>
  <c r="AS38" i="2" s="1"/>
  <c r="BG38" i="2" s="1"/>
  <c r="BU38" i="2" s="1"/>
  <c r="CI38" i="2" s="1"/>
  <c r="CW38" i="2" s="1"/>
  <c r="DK38" i="2" s="1"/>
  <c r="DY38" i="2" s="1"/>
  <c r="D36" i="2"/>
  <c r="R34" i="2"/>
  <c r="AF34" i="2" s="1"/>
  <c r="AT34" i="2" s="1"/>
  <c r="BH34" i="2" s="1"/>
  <c r="BV34" i="2" s="1"/>
  <c r="CJ34" i="2" s="1"/>
  <c r="CX34" i="2" s="1"/>
  <c r="DL34" i="2" s="1"/>
  <c r="DZ34" i="2" s="1"/>
  <c r="E34" i="2"/>
  <c r="F34" i="2" s="1"/>
  <c r="T34" i="2" s="1"/>
  <c r="AH34" i="2" s="1"/>
  <c r="AV34" i="2" s="1"/>
  <c r="BJ34" i="2" s="1"/>
  <c r="BX34" i="2" s="1"/>
  <c r="CL34" i="2" s="1"/>
  <c r="CZ34" i="2" s="1"/>
  <c r="DN34" i="2" s="1"/>
  <c r="EB34" i="2" s="1"/>
  <c r="Q32" i="2"/>
  <c r="AE32" i="2" s="1"/>
  <c r="AS32" i="2" s="1"/>
  <c r="BG32" i="2" s="1"/>
  <c r="BU32" i="2" s="1"/>
  <c r="CI32" i="2" s="1"/>
  <c r="CW32" i="2" s="1"/>
  <c r="DK32" i="2" s="1"/>
  <c r="DY32" i="2" s="1"/>
  <c r="Q31" i="2"/>
  <c r="AE31" i="2" s="1"/>
  <c r="AS31" i="2" s="1"/>
  <c r="BG31" i="2" s="1"/>
  <c r="R29" i="2"/>
  <c r="AF29" i="2" s="1"/>
  <c r="AT29" i="2" s="1"/>
  <c r="Q29" i="2"/>
  <c r="AE29" i="2" s="1"/>
  <c r="AS29" i="2" s="1"/>
  <c r="BG29" i="2" s="1"/>
  <c r="BU29" i="2" s="1"/>
  <c r="CI29" i="2" s="1"/>
  <c r="CW29" i="2" s="1"/>
  <c r="DK29" i="2" s="1"/>
  <c r="DY29" i="2" s="1"/>
  <c r="Q28" i="2"/>
  <c r="AE28" i="2" s="1"/>
  <c r="AS28" i="2" s="1"/>
  <c r="BG28" i="2" s="1"/>
  <c r="BU28" i="2" s="1"/>
  <c r="CI28" i="2" s="1"/>
  <c r="CW28" i="2" s="1"/>
  <c r="DK28" i="2" s="1"/>
  <c r="DY28" i="2" s="1"/>
  <c r="U24" i="2"/>
  <c r="AI24" i="2" s="1"/>
  <c r="AW24" i="2" s="1"/>
  <c r="BK24" i="2" s="1"/>
  <c r="BY24" i="2" s="1"/>
  <c r="CM24" i="2" s="1"/>
  <c r="DA24" i="2" s="1"/>
  <c r="DO24" i="2" s="1"/>
  <c r="EC24" i="2" s="1"/>
  <c r="T24" i="2"/>
  <c r="AH24" i="2" s="1"/>
  <c r="AV24" i="2" s="1"/>
  <c r="BJ24" i="2" s="1"/>
  <c r="BX24" i="2" s="1"/>
  <c r="CL24" i="2" s="1"/>
  <c r="CZ24" i="2" s="1"/>
  <c r="DN24" i="2" s="1"/>
  <c r="EB24" i="2" s="1"/>
  <c r="S24" i="2"/>
  <c r="AG24" i="2" s="1"/>
  <c r="AU24" i="2" s="1"/>
  <c r="BI24" i="2" s="1"/>
  <c r="BW24" i="2" s="1"/>
  <c r="CK24" i="2" s="1"/>
  <c r="CY24" i="2" s="1"/>
  <c r="DM24" i="2" s="1"/>
  <c r="EA24" i="2" s="1"/>
  <c r="Q24" i="2"/>
  <c r="AE24" i="2" s="1"/>
  <c r="AS24" i="2" s="1"/>
  <c r="BG24" i="2" s="1"/>
  <c r="BU24" i="2" s="1"/>
  <c r="CI24" i="2" s="1"/>
  <c r="CW24" i="2" s="1"/>
  <c r="DK24" i="2" s="1"/>
  <c r="DY24" i="2" s="1"/>
  <c r="Q23" i="2"/>
  <c r="AE23" i="2" s="1"/>
  <c r="AS23" i="2" s="1"/>
  <c r="BG23" i="2" s="1"/>
  <c r="BU23" i="2" s="1"/>
  <c r="CI23" i="2" s="1"/>
  <c r="CW23" i="2" s="1"/>
  <c r="DK23" i="2" s="1"/>
  <c r="DY23" i="2" s="1"/>
  <c r="Q22" i="2"/>
  <c r="AE22" i="2" s="1"/>
  <c r="AS22" i="2" s="1"/>
  <c r="BG22" i="2" s="1"/>
  <c r="BU22" i="2" s="1"/>
  <c r="CI22" i="2" s="1"/>
  <c r="CW22" i="2" s="1"/>
  <c r="DK22" i="2" s="1"/>
  <c r="DY22" i="2" s="1"/>
  <c r="Q19" i="2"/>
  <c r="AE19" i="2" s="1"/>
  <c r="AS19" i="2" s="1"/>
  <c r="BG19" i="2" s="1"/>
  <c r="BU19" i="2" s="1"/>
  <c r="CI19" i="2" s="1"/>
  <c r="CW19" i="2" s="1"/>
  <c r="DK19" i="2" s="1"/>
  <c r="DY19" i="2" s="1"/>
  <c r="D17" i="2"/>
  <c r="E17" i="2" s="1"/>
  <c r="F17" i="2" s="1"/>
  <c r="G17" i="2" s="1"/>
  <c r="H17" i="2" s="1"/>
  <c r="D16" i="2"/>
  <c r="F48" i="2"/>
  <c r="S48" i="2"/>
  <c r="AG48" i="2" s="1"/>
  <c r="AU48" i="2" s="1"/>
  <c r="BI48" i="2" s="1"/>
  <c r="BW48" i="2" s="1"/>
  <c r="CK48" i="2" s="1"/>
  <c r="CY48" i="2" s="1"/>
  <c r="DM48" i="2" s="1"/>
  <c r="EA48" i="2" s="1"/>
  <c r="F38" i="2"/>
  <c r="F40" i="2"/>
  <c r="S40" i="2"/>
  <c r="AG40" i="2" s="1"/>
  <c r="AU40" i="2" s="1"/>
  <c r="BI40" i="2" s="1"/>
  <c r="BW40" i="2" s="1"/>
  <c r="CK40" i="2" s="1"/>
  <c r="CY40" i="2" s="1"/>
  <c r="DM40" i="2" s="1"/>
  <c r="EA40" i="2" s="1"/>
  <c r="G39" i="2"/>
  <c r="E33" i="2"/>
  <c r="R33" i="2"/>
  <c r="AF33" i="2" s="1"/>
  <c r="AT33" i="2" s="1"/>
  <c r="BH33" i="2" s="1"/>
  <c r="BV33" i="2" s="1"/>
  <c r="CJ33" i="2" s="1"/>
  <c r="CX33" i="2" s="1"/>
  <c r="DL33" i="2" s="1"/>
  <c r="DZ33" i="2" s="1"/>
  <c r="Q33" i="2"/>
  <c r="AE33" i="2" s="1"/>
  <c r="AS33" i="2" s="1"/>
  <c r="BG33" i="2" s="1"/>
  <c r="BU33" i="2" s="1"/>
  <c r="CI33" i="2" s="1"/>
  <c r="CW33" i="2" s="1"/>
  <c r="DK33" i="2" s="1"/>
  <c r="DY33" i="2" s="1"/>
  <c r="AR47" i="2"/>
  <c r="BF47" i="2" s="1"/>
  <c r="BT47" i="2" s="1"/>
  <c r="CH47" i="2" s="1"/>
  <c r="CV47" i="2" s="1"/>
  <c r="DJ47" i="2" s="1"/>
  <c r="DX47" i="2" s="1"/>
  <c r="AS53" i="2"/>
  <c r="AD53" i="2"/>
  <c r="AR53" i="2" s="1"/>
  <c r="BF53" i="2" s="1"/>
  <c r="BT53" i="2" s="1"/>
  <c r="CH53" i="2" s="1"/>
  <c r="CV53" i="2" s="1"/>
  <c r="DJ53" i="2" s="1"/>
  <c r="DX53" i="2" s="1"/>
  <c r="D18" i="2"/>
  <c r="E27" i="2"/>
  <c r="S27" i="2" s="1"/>
  <c r="AG27" i="2" s="1"/>
  <c r="R27" i="2"/>
  <c r="AF27" i="2" s="1"/>
  <c r="AT27" i="2" s="1"/>
  <c r="BH27" i="2" s="1"/>
  <c r="BV27" i="2" s="1"/>
  <c r="CJ27" i="2" s="1"/>
  <c r="CX27" i="2" s="1"/>
  <c r="DL27" i="2" s="1"/>
  <c r="DZ27" i="2" s="1"/>
  <c r="E23" i="2"/>
  <c r="R23" i="2"/>
  <c r="AF23" i="2" s="1"/>
  <c r="AT23" i="2" s="1"/>
  <c r="BH23" i="2" s="1"/>
  <c r="BV23" i="2" s="1"/>
  <c r="CJ23" i="2" s="1"/>
  <c r="CX23" i="2" s="1"/>
  <c r="DL23" i="2" s="1"/>
  <c r="DZ23" i="2" s="1"/>
  <c r="R19" i="2"/>
  <c r="AF19" i="2" s="1"/>
  <c r="AT19" i="2" s="1"/>
  <c r="BH19" i="2" s="1"/>
  <c r="BV19" i="2" s="1"/>
  <c r="CJ19" i="2" s="1"/>
  <c r="CX19" i="2" s="1"/>
  <c r="DL19" i="2" s="1"/>
  <c r="DZ19" i="2" s="1"/>
  <c r="E19" i="2"/>
  <c r="E28" i="2"/>
  <c r="S28" i="2" s="1"/>
  <c r="AG28" i="2" s="1"/>
  <c r="AU28" i="2" s="1"/>
  <c r="BI28" i="2" s="1"/>
  <c r="BW28" i="2" s="1"/>
  <c r="CK28" i="2" s="1"/>
  <c r="CY28" i="2" s="1"/>
  <c r="DM28" i="2" s="1"/>
  <c r="EA28" i="2" s="1"/>
  <c r="R28" i="2"/>
  <c r="AF28" i="2" s="1"/>
  <c r="AT28" i="2" s="1"/>
  <c r="BH28" i="2" s="1"/>
  <c r="BV28" i="2" s="1"/>
  <c r="CJ28" i="2" s="1"/>
  <c r="CX28" i="2" s="1"/>
  <c r="DL28" i="2" s="1"/>
  <c r="DZ28" i="2" s="1"/>
  <c r="E21" i="2"/>
  <c r="R21" i="2"/>
  <c r="AF21" i="2" s="1"/>
  <c r="AT21" i="2" s="1"/>
  <c r="BH21" i="2" s="1"/>
  <c r="BV21" i="2" s="1"/>
  <c r="CJ21" i="2" s="1"/>
  <c r="CX21" i="2" s="1"/>
  <c r="DL21" i="2" s="1"/>
  <c r="DZ21" i="2" s="1"/>
  <c r="E31" i="2"/>
  <c r="R31" i="2"/>
  <c r="AF31" i="2" s="1"/>
  <c r="AT31" i="2" s="1"/>
  <c r="BH31" i="2" s="1"/>
  <c r="BV31" i="2" s="1"/>
  <c r="CJ31" i="2" s="1"/>
  <c r="CX31" i="2" s="1"/>
  <c r="DL31" i="2" s="1"/>
  <c r="DZ31" i="2" s="1"/>
  <c r="E22" i="2"/>
  <c r="R22" i="2"/>
  <c r="AF22" i="2" s="1"/>
  <c r="AT22" i="2" s="1"/>
  <c r="BH22" i="2" s="1"/>
  <c r="BV22" i="2" s="1"/>
  <c r="CJ22" i="2" s="1"/>
  <c r="CX22" i="2" s="1"/>
  <c r="DL22" i="2" s="1"/>
  <c r="DZ22" i="2" s="1"/>
  <c r="E32" i="2"/>
  <c r="F32" i="2" s="1"/>
  <c r="R32" i="2"/>
  <c r="AF32" i="2" s="1"/>
  <c r="AT32" i="2" s="1"/>
  <c r="BH32" i="2" s="1"/>
  <c r="BV32" i="2" s="1"/>
  <c r="CJ32" i="2" s="1"/>
  <c r="CX32" i="2" s="1"/>
  <c r="DL32" i="2" s="1"/>
  <c r="DZ32" i="2" s="1"/>
  <c r="D25" i="2"/>
  <c r="D20" i="2"/>
  <c r="F29" i="2"/>
  <c r="S29" i="2"/>
  <c r="AG29" i="2" s="1"/>
  <c r="AU29" i="2" s="1"/>
  <c r="BI29" i="2" s="1"/>
  <c r="BW29" i="2" s="1"/>
  <c r="CK29" i="2" s="1"/>
  <c r="CY29" i="2" s="1"/>
  <c r="DM29" i="2" s="1"/>
  <c r="EA29" i="2" s="1"/>
  <c r="K24" i="2"/>
  <c r="W24" i="2"/>
  <c r="AK24" i="2" s="1"/>
  <c r="AY24" i="2" s="1"/>
  <c r="BM24" i="2" s="1"/>
  <c r="CA24" i="2" s="1"/>
  <c r="CO24" i="2" s="1"/>
  <c r="DC24" i="2" s="1"/>
  <c r="DQ24" i="2" s="1"/>
  <c r="EE24" i="2" s="1"/>
  <c r="AS51" i="2"/>
  <c r="AE49" i="2"/>
  <c r="BG36" i="2"/>
  <c r="AD9" i="2"/>
  <c r="AD11" i="2" s="1"/>
  <c r="AD57" i="2" s="1"/>
  <c r="AR7" i="2"/>
  <c r="BF7" i="2" s="1"/>
  <c r="BT7" i="2" s="1"/>
  <c r="CH7" i="2" s="1"/>
  <c r="CV7" i="2" s="1"/>
  <c r="DJ7" i="2" s="1"/>
  <c r="DX7" i="2" s="1"/>
  <c r="AD42" i="2"/>
  <c r="AD35" i="2"/>
  <c r="AD26" i="2"/>
  <c r="AD49" i="2"/>
  <c r="AD30" i="2"/>
  <c r="AD15" i="2"/>
  <c r="S44" i="2" l="1"/>
  <c r="AG44" i="2" s="1"/>
  <c r="S39" i="2"/>
  <c r="AG39" i="2" s="1"/>
  <c r="AU39" i="2" s="1"/>
  <c r="BI39" i="2" s="1"/>
  <c r="BW39" i="2" s="1"/>
  <c r="CK39" i="2" s="1"/>
  <c r="CY39" i="2" s="1"/>
  <c r="DM39" i="2" s="1"/>
  <c r="EA39" i="2" s="1"/>
  <c r="S37" i="2"/>
  <c r="AG37" i="2" s="1"/>
  <c r="AU37" i="2" s="1"/>
  <c r="BI37" i="2" s="1"/>
  <c r="BW37" i="2" s="1"/>
  <c r="CK37" i="2" s="1"/>
  <c r="CY37" i="2" s="1"/>
  <c r="DM37" i="2" s="1"/>
  <c r="EA37" i="2" s="1"/>
  <c r="F28" i="2"/>
  <c r="T28" i="2" s="1"/>
  <c r="AH28" i="2" s="1"/>
  <c r="AE30" i="2"/>
  <c r="R37" i="2"/>
  <c r="AF37" i="2" s="1"/>
  <c r="AT37" i="2" s="1"/>
  <c r="BH37" i="2" s="1"/>
  <c r="BV37" i="2" s="1"/>
  <c r="CJ37" i="2" s="1"/>
  <c r="CX37" i="2" s="1"/>
  <c r="DL37" i="2" s="1"/>
  <c r="DZ37" i="2" s="1"/>
  <c r="G46" i="2"/>
  <c r="T43" i="2"/>
  <c r="AH43" i="2" s="1"/>
  <c r="AV43" i="2" s="1"/>
  <c r="BJ43" i="2" s="1"/>
  <c r="BX43" i="2" s="1"/>
  <c r="CL43" i="2" s="1"/>
  <c r="CZ43" i="2" s="1"/>
  <c r="DN43" i="2" s="1"/>
  <c r="EB43" i="2" s="1"/>
  <c r="S51" i="2"/>
  <c r="AG51" i="2" s="1"/>
  <c r="AU51" i="2" s="1"/>
  <c r="BI51" i="2" s="1"/>
  <c r="BW51" i="2" s="1"/>
  <c r="CK51" i="2" s="1"/>
  <c r="CY51" i="2" s="1"/>
  <c r="DM51" i="2" s="1"/>
  <c r="EA51" i="2" s="1"/>
  <c r="AD52" i="2"/>
  <c r="AD41" i="2" s="1"/>
  <c r="R51" i="2"/>
  <c r="AF51" i="2" s="1"/>
  <c r="AT51" i="2" s="1"/>
  <c r="BH51" i="2" s="1"/>
  <c r="BV51" i="2" s="1"/>
  <c r="CJ51" i="2" s="1"/>
  <c r="CX51" i="2" s="1"/>
  <c r="DL51" i="2" s="1"/>
  <c r="DZ51" i="2" s="1"/>
  <c r="R8" i="2"/>
  <c r="AF8" i="2" s="1"/>
  <c r="AT8" i="2" s="1"/>
  <c r="BH8" i="2" s="1"/>
  <c r="BV8" i="2" s="1"/>
  <c r="CJ8" i="2" s="1"/>
  <c r="CX8" i="2" s="1"/>
  <c r="DL8" i="2" s="1"/>
  <c r="DZ8" i="2" s="1"/>
  <c r="F8" i="2"/>
  <c r="G8" i="2" s="1"/>
  <c r="AE35" i="2"/>
  <c r="T17" i="2"/>
  <c r="AH17" i="2" s="1"/>
  <c r="AV17" i="2" s="1"/>
  <c r="BJ17" i="2" s="1"/>
  <c r="BX17" i="2" s="1"/>
  <c r="CL17" i="2" s="1"/>
  <c r="CZ17" i="2" s="1"/>
  <c r="DN17" i="2" s="1"/>
  <c r="EB17" i="2" s="1"/>
  <c r="S46" i="2"/>
  <c r="AG46" i="2" s="1"/>
  <c r="AU46" i="2" s="1"/>
  <c r="BI46" i="2" s="1"/>
  <c r="BW46" i="2" s="1"/>
  <c r="CK46" i="2" s="1"/>
  <c r="CY46" i="2" s="1"/>
  <c r="DM46" i="2" s="1"/>
  <c r="EA46" i="2" s="1"/>
  <c r="G34" i="2"/>
  <c r="U34" i="2" s="1"/>
  <c r="AI34" i="2" s="1"/>
  <c r="AW34" i="2" s="1"/>
  <c r="BK34" i="2" s="1"/>
  <c r="BY34" i="2" s="1"/>
  <c r="CM34" i="2" s="1"/>
  <c r="DA34" i="2" s="1"/>
  <c r="DO34" i="2" s="1"/>
  <c r="EC34" i="2" s="1"/>
  <c r="G53" i="2"/>
  <c r="U53" i="2" s="1"/>
  <c r="AI53" i="2" s="1"/>
  <c r="U17" i="2"/>
  <c r="AI17" i="2" s="1"/>
  <c r="AW17" i="2" s="1"/>
  <c r="BK17" i="2" s="1"/>
  <c r="F45" i="2"/>
  <c r="T45" i="2" s="1"/>
  <c r="AH45" i="2" s="1"/>
  <c r="AV45" i="2" s="1"/>
  <c r="BJ45" i="2" s="1"/>
  <c r="BX45" i="2" s="1"/>
  <c r="CL45" i="2" s="1"/>
  <c r="CZ45" i="2" s="1"/>
  <c r="DN45" i="2" s="1"/>
  <c r="EB45" i="2" s="1"/>
  <c r="S53" i="2"/>
  <c r="AG53" i="2" s="1"/>
  <c r="AG52" i="2" s="1"/>
  <c r="R17" i="2"/>
  <c r="AF17" i="2" s="1"/>
  <c r="AT17" i="2" s="1"/>
  <c r="BH17" i="2" s="1"/>
  <c r="BV17" i="2" s="1"/>
  <c r="CJ17" i="2" s="1"/>
  <c r="CX17" i="2" s="1"/>
  <c r="DL17" i="2" s="1"/>
  <c r="DZ17" i="2" s="1"/>
  <c r="AS9" i="2"/>
  <c r="AS11" i="2" s="1"/>
  <c r="AS57" i="2" s="1"/>
  <c r="CW9" i="2"/>
  <c r="CW11" i="2" s="1"/>
  <c r="CW57" i="2" s="1"/>
  <c r="DK9" i="2"/>
  <c r="DK11" i="2" s="1"/>
  <c r="DK57" i="2" s="1"/>
  <c r="CI9" i="2"/>
  <c r="CI11" i="2" s="1"/>
  <c r="CI57" i="2" s="1"/>
  <c r="BU9" i="2"/>
  <c r="BU11" i="2" s="1"/>
  <c r="BU57" i="2" s="1"/>
  <c r="BG9" i="2"/>
  <c r="BG11" i="2" s="1"/>
  <c r="BG57" i="2" s="1"/>
  <c r="R7" i="2"/>
  <c r="AF7" i="2" s="1"/>
  <c r="S34" i="2"/>
  <c r="AG34" i="2" s="1"/>
  <c r="AU34" i="2" s="1"/>
  <c r="BI34" i="2" s="1"/>
  <c r="BW34" i="2" s="1"/>
  <c r="CK34" i="2" s="1"/>
  <c r="CY34" i="2" s="1"/>
  <c r="DM34" i="2" s="1"/>
  <c r="EA34" i="2" s="1"/>
  <c r="S17" i="2"/>
  <c r="AG17" i="2" s="1"/>
  <c r="AU17" i="2" s="1"/>
  <c r="BI17" i="2" s="1"/>
  <c r="BW17" i="2" s="1"/>
  <c r="CK17" i="2" s="1"/>
  <c r="AE15" i="2"/>
  <c r="AF42" i="2"/>
  <c r="AS42" i="2"/>
  <c r="AE42" i="2"/>
  <c r="AE41" i="2" s="1"/>
  <c r="AE26" i="2"/>
  <c r="CW15" i="2"/>
  <c r="DY15" i="2"/>
  <c r="AS15" i="2"/>
  <c r="AT53" i="2"/>
  <c r="BH53" i="2" s="1"/>
  <c r="R50" i="2"/>
  <c r="AF50" i="2" s="1"/>
  <c r="E50" i="2"/>
  <c r="F47" i="2"/>
  <c r="S47" i="2"/>
  <c r="AG47" i="2" s="1"/>
  <c r="AU47" i="2" s="1"/>
  <c r="BI47" i="2" s="1"/>
  <c r="BW47" i="2" s="1"/>
  <c r="CK47" i="2" s="1"/>
  <c r="CY47" i="2" s="1"/>
  <c r="DM47" i="2" s="1"/>
  <c r="EA47" i="2" s="1"/>
  <c r="E36" i="2"/>
  <c r="R36" i="2"/>
  <c r="AF36" i="2" s="1"/>
  <c r="DZ30" i="2"/>
  <c r="F27" i="2"/>
  <c r="T27" i="2" s="1"/>
  <c r="AH27" i="2" s="1"/>
  <c r="E16" i="2"/>
  <c r="R16" i="2"/>
  <c r="AF16" i="2" s="1"/>
  <c r="AT16" i="2" s="1"/>
  <c r="BH16" i="2" s="1"/>
  <c r="BV16" i="2" s="1"/>
  <c r="CJ16" i="2" s="1"/>
  <c r="CX16" i="2" s="1"/>
  <c r="DL16" i="2" s="1"/>
  <c r="DZ16" i="2" s="1"/>
  <c r="BX53" i="2"/>
  <c r="BJ52" i="2"/>
  <c r="AH52" i="2"/>
  <c r="AV52" i="2"/>
  <c r="T51" i="2"/>
  <c r="AH51" i="2" s="1"/>
  <c r="G51" i="2"/>
  <c r="U43" i="2"/>
  <c r="AI43" i="2" s="1"/>
  <c r="H43" i="2"/>
  <c r="T44" i="2"/>
  <c r="AH44" i="2" s="1"/>
  <c r="G44" i="2"/>
  <c r="U46" i="2"/>
  <c r="AI46" i="2" s="1"/>
  <c r="H46" i="2"/>
  <c r="G48" i="2"/>
  <c r="T48" i="2"/>
  <c r="AH48" i="2" s="1"/>
  <c r="AU44" i="2"/>
  <c r="BI44" i="2" s="1"/>
  <c r="G40" i="2"/>
  <c r="T40" i="2"/>
  <c r="AH40" i="2" s="1"/>
  <c r="T38" i="2"/>
  <c r="AH38" i="2" s="1"/>
  <c r="G38" i="2"/>
  <c r="H39" i="2"/>
  <c r="U39" i="2"/>
  <c r="AI39" i="2" s="1"/>
  <c r="AW39" i="2" s="1"/>
  <c r="BK39" i="2" s="1"/>
  <c r="BY39" i="2" s="1"/>
  <c r="CM39" i="2" s="1"/>
  <c r="DA39" i="2" s="1"/>
  <c r="DO39" i="2" s="1"/>
  <c r="EC39" i="2" s="1"/>
  <c r="T37" i="2"/>
  <c r="AH37" i="2" s="1"/>
  <c r="AV37" i="2" s="1"/>
  <c r="BJ37" i="2" s="1"/>
  <c r="BX37" i="2" s="1"/>
  <c r="CL37" i="2" s="1"/>
  <c r="CZ37" i="2" s="1"/>
  <c r="DN37" i="2" s="1"/>
  <c r="EB37" i="2" s="1"/>
  <c r="G37" i="2"/>
  <c r="F33" i="2"/>
  <c r="S33" i="2"/>
  <c r="AG33" i="2" s="1"/>
  <c r="E18" i="2"/>
  <c r="R18" i="2"/>
  <c r="AF18" i="2" s="1"/>
  <c r="AT18" i="2" s="1"/>
  <c r="BH18" i="2" s="1"/>
  <c r="BV18" i="2" s="1"/>
  <c r="CJ18" i="2" s="1"/>
  <c r="CX18" i="2" s="1"/>
  <c r="DL18" i="2" s="1"/>
  <c r="DZ18" i="2" s="1"/>
  <c r="S32" i="2"/>
  <c r="AG32" i="2" s="1"/>
  <c r="AU32" i="2" s="1"/>
  <c r="BG42" i="2"/>
  <c r="BU48" i="2"/>
  <c r="BU15" i="2"/>
  <c r="BH44" i="2"/>
  <c r="AT42" i="2"/>
  <c r="CJ45" i="2"/>
  <c r="DK15" i="2"/>
  <c r="BG15" i="2"/>
  <c r="CX30" i="2"/>
  <c r="BG53" i="2"/>
  <c r="AS52" i="2"/>
  <c r="BV38" i="2"/>
  <c r="CI15" i="2"/>
  <c r="AF26" i="2"/>
  <c r="BV30" i="2"/>
  <c r="BH30" i="2"/>
  <c r="CJ30" i="2"/>
  <c r="F31" i="2"/>
  <c r="S31" i="2"/>
  <c r="AG31" i="2" s="1"/>
  <c r="AU31" i="2" s="1"/>
  <c r="BI31" i="2" s="1"/>
  <c r="BW31" i="2" s="1"/>
  <c r="AT30" i="2"/>
  <c r="F19" i="2"/>
  <c r="G19" i="2" s="1"/>
  <c r="S19" i="2"/>
  <c r="AG19" i="2" s="1"/>
  <c r="AU19" i="2" s="1"/>
  <c r="BI19" i="2" s="1"/>
  <c r="BW19" i="2" s="1"/>
  <c r="CK19" i="2" s="1"/>
  <c r="CY19" i="2" s="1"/>
  <c r="DM19" i="2" s="1"/>
  <c r="EA19" i="2" s="1"/>
  <c r="AF30" i="2"/>
  <c r="F22" i="2"/>
  <c r="S22" i="2"/>
  <c r="AG22" i="2" s="1"/>
  <c r="AU22" i="2" s="1"/>
  <c r="BI22" i="2" s="1"/>
  <c r="BW22" i="2" s="1"/>
  <c r="CK22" i="2" s="1"/>
  <c r="CY22" i="2" s="1"/>
  <c r="DM22" i="2" s="1"/>
  <c r="EA22" i="2" s="1"/>
  <c r="F23" i="2"/>
  <c r="S23" i="2"/>
  <c r="AG23" i="2" s="1"/>
  <c r="E20" i="2"/>
  <c r="R20" i="2"/>
  <c r="AF20" i="2" s="1"/>
  <c r="DL30" i="2"/>
  <c r="E25" i="2"/>
  <c r="R25" i="2"/>
  <c r="AF25" i="2" s="1"/>
  <c r="AT25" i="2" s="1"/>
  <c r="BH25" i="2" s="1"/>
  <c r="BV25" i="2" s="1"/>
  <c r="CJ25" i="2" s="1"/>
  <c r="CX25" i="2" s="1"/>
  <c r="DL25" i="2" s="1"/>
  <c r="DZ25" i="2" s="1"/>
  <c r="F21" i="2"/>
  <c r="S21" i="2"/>
  <c r="AG21" i="2" s="1"/>
  <c r="AU21" i="2" s="1"/>
  <c r="BI21" i="2" s="1"/>
  <c r="BW21" i="2" s="1"/>
  <c r="CK21" i="2" s="1"/>
  <c r="CY21" i="2" s="1"/>
  <c r="DM21" i="2" s="1"/>
  <c r="EA21" i="2" s="1"/>
  <c r="G32" i="2"/>
  <c r="T32" i="2"/>
  <c r="AH32" i="2" s="1"/>
  <c r="AV32" i="2" s="1"/>
  <c r="AT26" i="2"/>
  <c r="BH29" i="2"/>
  <c r="G29" i="2"/>
  <c r="T29" i="2"/>
  <c r="AH29" i="2" s="1"/>
  <c r="AV29" i="2" s="1"/>
  <c r="BJ29" i="2" s="1"/>
  <c r="BX29" i="2" s="1"/>
  <c r="CL29" i="2" s="1"/>
  <c r="CZ29" i="2" s="1"/>
  <c r="DN29" i="2" s="1"/>
  <c r="EB29" i="2" s="1"/>
  <c r="AG26" i="2"/>
  <c r="AU27" i="2"/>
  <c r="L24" i="2"/>
  <c r="Y24" i="2"/>
  <c r="AM24" i="2" s="1"/>
  <c r="V17" i="2"/>
  <c r="AJ17" i="2" s="1"/>
  <c r="I17" i="2"/>
  <c r="AS49" i="2"/>
  <c r="BG51" i="2"/>
  <c r="AS30" i="2"/>
  <c r="BU36" i="2"/>
  <c r="BG35" i="2"/>
  <c r="AS35" i="2"/>
  <c r="BU31" i="2"/>
  <c r="BG30" i="2"/>
  <c r="BG27" i="2"/>
  <c r="AS26" i="2"/>
  <c r="AR9" i="2"/>
  <c r="AR11" i="2" s="1"/>
  <c r="AR57" i="2" s="1"/>
  <c r="AD14" i="2"/>
  <c r="AR35" i="2"/>
  <c r="AR15" i="2"/>
  <c r="AR42" i="2"/>
  <c r="AR26" i="2"/>
  <c r="BF9" i="2"/>
  <c r="BF11" i="2" s="1"/>
  <c r="BF57" i="2" s="1"/>
  <c r="AR30" i="2"/>
  <c r="AR52" i="2"/>
  <c r="AR49" i="2"/>
  <c r="G28" i="2" l="1"/>
  <c r="H28" i="2" s="1"/>
  <c r="H53" i="2"/>
  <c r="I53" i="2" s="1"/>
  <c r="T8" i="2"/>
  <c r="AH8" i="2" s="1"/>
  <c r="AV8" i="2" s="1"/>
  <c r="BJ8" i="2" s="1"/>
  <c r="BX8" i="2" s="1"/>
  <c r="CL8" i="2" s="1"/>
  <c r="CZ8" i="2" s="1"/>
  <c r="DN8" i="2" s="1"/>
  <c r="EB8" i="2" s="1"/>
  <c r="H34" i="2"/>
  <c r="V34" i="2" s="1"/>
  <c r="AJ34" i="2" s="1"/>
  <c r="AR41" i="2"/>
  <c r="AS41" i="2"/>
  <c r="G45" i="2"/>
  <c r="H45" i="2" s="1"/>
  <c r="AU53" i="2"/>
  <c r="BI53" i="2" s="1"/>
  <c r="BI52" i="2" s="1"/>
  <c r="AE14" i="2"/>
  <c r="AE54" i="2" s="1"/>
  <c r="AE58" i="2" s="1"/>
  <c r="AE59" i="2" s="1"/>
  <c r="AF9" i="2"/>
  <c r="AF11" i="2" s="1"/>
  <c r="AF57" i="2" s="1"/>
  <c r="AT7" i="2"/>
  <c r="S7" i="2"/>
  <c r="AG7" i="2" s="1"/>
  <c r="H8" i="2"/>
  <c r="U8" i="2"/>
  <c r="AI8" i="2" s="1"/>
  <c r="AW8" i="2" s="1"/>
  <c r="BK8" i="2" s="1"/>
  <c r="BY8" i="2" s="1"/>
  <c r="AU52" i="2"/>
  <c r="AT52" i="2"/>
  <c r="AG42" i="2"/>
  <c r="AG30" i="2"/>
  <c r="S50" i="2"/>
  <c r="AG50" i="2" s="1"/>
  <c r="F50" i="2"/>
  <c r="AT50" i="2"/>
  <c r="AF49" i="2"/>
  <c r="AF41" i="2" s="1"/>
  <c r="T47" i="2"/>
  <c r="AH47" i="2" s="1"/>
  <c r="AV47" i="2" s="1"/>
  <c r="BJ47" i="2" s="1"/>
  <c r="BX47" i="2" s="1"/>
  <c r="CL47" i="2" s="1"/>
  <c r="G47" i="2"/>
  <c r="AT36" i="2"/>
  <c r="AF35" i="2"/>
  <c r="F36" i="2"/>
  <c r="S36" i="2"/>
  <c r="AG36" i="2" s="1"/>
  <c r="G27" i="2"/>
  <c r="U27" i="2" s="1"/>
  <c r="AI27" i="2" s="1"/>
  <c r="AW27" i="2" s="1"/>
  <c r="BK27" i="2" s="1"/>
  <c r="BY27" i="2" s="1"/>
  <c r="CM27" i="2" s="1"/>
  <c r="DA27" i="2" s="1"/>
  <c r="DO27" i="2" s="1"/>
  <c r="EC27" i="2" s="1"/>
  <c r="F16" i="2"/>
  <c r="S16" i="2"/>
  <c r="AG16" i="2" s="1"/>
  <c r="AU16" i="2" s="1"/>
  <c r="BI16" i="2" s="1"/>
  <c r="BW16" i="2" s="1"/>
  <c r="CK16" i="2" s="1"/>
  <c r="CY16" i="2" s="1"/>
  <c r="DM16" i="2" s="1"/>
  <c r="EA16" i="2" s="1"/>
  <c r="AW53" i="2"/>
  <c r="AI52" i="2"/>
  <c r="CL53" i="2"/>
  <c r="BX52" i="2"/>
  <c r="H51" i="2"/>
  <c r="U51" i="2"/>
  <c r="AI51" i="2" s="1"/>
  <c r="AV51" i="2"/>
  <c r="AW43" i="2"/>
  <c r="H48" i="2"/>
  <c r="U48" i="2"/>
  <c r="AI48" i="2" s="1"/>
  <c r="AW48" i="2" s="1"/>
  <c r="BK48" i="2" s="1"/>
  <c r="BY48" i="2" s="1"/>
  <c r="CM48" i="2" s="1"/>
  <c r="DA48" i="2" s="1"/>
  <c r="DO48" i="2" s="1"/>
  <c r="EC48" i="2" s="1"/>
  <c r="AU42" i="2"/>
  <c r="V46" i="2"/>
  <c r="AJ46" i="2" s="1"/>
  <c r="AX46" i="2" s="1"/>
  <c r="BL46" i="2" s="1"/>
  <c r="BZ46" i="2" s="1"/>
  <c r="CN46" i="2" s="1"/>
  <c r="DB46" i="2" s="1"/>
  <c r="DP46" i="2" s="1"/>
  <c r="ED46" i="2" s="1"/>
  <c r="I46" i="2"/>
  <c r="AV48" i="2"/>
  <c r="AW46" i="2"/>
  <c r="U44" i="2"/>
  <c r="AI44" i="2" s="1"/>
  <c r="AW44" i="2" s="1"/>
  <c r="BK44" i="2" s="1"/>
  <c r="BY44" i="2" s="1"/>
  <c r="CM44" i="2" s="1"/>
  <c r="H44" i="2"/>
  <c r="AV44" i="2"/>
  <c r="U45" i="2"/>
  <c r="AI45" i="2" s="1"/>
  <c r="AW45" i="2" s="1"/>
  <c r="BK45" i="2" s="1"/>
  <c r="BY45" i="2" s="1"/>
  <c r="CM45" i="2" s="1"/>
  <c r="DA45" i="2" s="1"/>
  <c r="DO45" i="2" s="1"/>
  <c r="EC45" i="2" s="1"/>
  <c r="V43" i="2"/>
  <c r="AJ43" i="2" s="1"/>
  <c r="I43" i="2"/>
  <c r="H37" i="2"/>
  <c r="U37" i="2"/>
  <c r="AI37" i="2" s="1"/>
  <c r="V39" i="2"/>
  <c r="AJ39" i="2" s="1"/>
  <c r="I39" i="2"/>
  <c r="H38" i="2"/>
  <c r="U38" i="2"/>
  <c r="AI38" i="2" s="1"/>
  <c r="AW38" i="2" s="1"/>
  <c r="BK38" i="2" s="1"/>
  <c r="BY38" i="2" s="1"/>
  <c r="CM38" i="2" s="1"/>
  <c r="DA38" i="2" s="1"/>
  <c r="DO38" i="2" s="1"/>
  <c r="EC38" i="2" s="1"/>
  <c r="U40" i="2"/>
  <c r="AI40" i="2" s="1"/>
  <c r="AW40" i="2" s="1"/>
  <c r="BK40" i="2" s="1"/>
  <c r="BY40" i="2" s="1"/>
  <c r="CM40" i="2" s="1"/>
  <c r="DA40" i="2" s="1"/>
  <c r="DO40" i="2" s="1"/>
  <c r="EC40" i="2" s="1"/>
  <c r="H40" i="2"/>
  <c r="AV38" i="2"/>
  <c r="AV40" i="2"/>
  <c r="I34" i="2"/>
  <c r="AU33" i="2"/>
  <c r="AU30" i="2" s="1"/>
  <c r="G33" i="2"/>
  <c r="T33" i="2"/>
  <c r="AH33" i="2" s="1"/>
  <c r="AV33" i="2" s="1"/>
  <c r="BJ33" i="2" s="1"/>
  <c r="BX33" i="2" s="1"/>
  <c r="CL33" i="2" s="1"/>
  <c r="CZ33" i="2" s="1"/>
  <c r="DN33" i="2" s="1"/>
  <c r="EB33" i="2" s="1"/>
  <c r="BV44" i="2"/>
  <c r="BH42" i="2"/>
  <c r="BW44" i="2"/>
  <c r="BI42" i="2"/>
  <c r="BV53" i="2"/>
  <c r="BH52" i="2"/>
  <c r="CJ38" i="2"/>
  <c r="CX45" i="2"/>
  <c r="BU53" i="2"/>
  <c r="BG52" i="2"/>
  <c r="BU42" i="2"/>
  <c r="CI48" i="2"/>
  <c r="F18" i="2"/>
  <c r="S18" i="2"/>
  <c r="AG18" i="2" s="1"/>
  <c r="AU18" i="2" s="1"/>
  <c r="BI18" i="2" s="1"/>
  <c r="BW18" i="2" s="1"/>
  <c r="CK18" i="2" s="1"/>
  <c r="CY18" i="2" s="1"/>
  <c r="DM18" i="2" s="1"/>
  <c r="EA18" i="2" s="1"/>
  <c r="F25" i="2"/>
  <c r="S25" i="2"/>
  <c r="AG25" i="2" s="1"/>
  <c r="AU25" i="2" s="1"/>
  <c r="BI25" i="2" s="1"/>
  <c r="BW25" i="2" s="1"/>
  <c r="CK25" i="2" s="1"/>
  <c r="CY25" i="2" s="1"/>
  <c r="DM25" i="2" s="1"/>
  <c r="EA25" i="2" s="1"/>
  <c r="F20" i="2"/>
  <c r="S20" i="2"/>
  <c r="AG20" i="2" s="1"/>
  <c r="AT20" i="2"/>
  <c r="AF15" i="2"/>
  <c r="T19" i="2"/>
  <c r="AH19" i="2" s="1"/>
  <c r="AU23" i="2"/>
  <c r="G21" i="2"/>
  <c r="T21" i="2"/>
  <c r="AH21" i="2" s="1"/>
  <c r="AV21" i="2" s="1"/>
  <c r="BJ21" i="2" s="1"/>
  <c r="BX21" i="2" s="1"/>
  <c r="CL21" i="2" s="1"/>
  <c r="CZ21" i="2" s="1"/>
  <c r="DN21" i="2" s="1"/>
  <c r="EB21" i="2" s="1"/>
  <c r="G23" i="2"/>
  <c r="T23" i="2"/>
  <c r="AH23" i="2" s="1"/>
  <c r="AV23" i="2" s="1"/>
  <c r="BJ23" i="2" s="1"/>
  <c r="BX23" i="2" s="1"/>
  <c r="CL23" i="2" s="1"/>
  <c r="CZ23" i="2" s="1"/>
  <c r="DN23" i="2" s="1"/>
  <c r="EB23" i="2" s="1"/>
  <c r="G31" i="2"/>
  <c r="T31" i="2"/>
  <c r="AH31" i="2" s="1"/>
  <c r="AV31" i="2" s="1"/>
  <c r="BJ31" i="2" s="1"/>
  <c r="T22" i="2"/>
  <c r="AH22" i="2" s="1"/>
  <c r="AV22" i="2" s="1"/>
  <c r="BJ22" i="2" s="1"/>
  <c r="BX22" i="2" s="1"/>
  <c r="CL22" i="2" s="1"/>
  <c r="CZ22" i="2" s="1"/>
  <c r="DN22" i="2" s="1"/>
  <c r="EB22" i="2" s="1"/>
  <c r="G22" i="2"/>
  <c r="CK31" i="2"/>
  <c r="BJ32" i="2"/>
  <c r="BX32" i="2" s="1"/>
  <c r="CL32" i="2" s="1"/>
  <c r="CZ32" i="2" s="1"/>
  <c r="DN32" i="2" s="1"/>
  <c r="EB32" i="2" s="1"/>
  <c r="U32" i="2"/>
  <c r="AI32" i="2" s="1"/>
  <c r="H32" i="2"/>
  <c r="BI32" i="2"/>
  <c r="AV28" i="2"/>
  <c r="AU26" i="2"/>
  <c r="BI27" i="2"/>
  <c r="H29" i="2"/>
  <c r="U29" i="2"/>
  <c r="AI29" i="2" s="1"/>
  <c r="AH26" i="2"/>
  <c r="AV27" i="2"/>
  <c r="BH26" i="2"/>
  <c r="BV29" i="2"/>
  <c r="CY17" i="2"/>
  <c r="J17" i="2"/>
  <c r="W17" i="2"/>
  <c r="AK17" i="2" s="1"/>
  <c r="BY17" i="2"/>
  <c r="BA24" i="2"/>
  <c r="AX17" i="2"/>
  <c r="M24" i="2"/>
  <c r="AA24" i="2" s="1"/>
  <c r="AO24" i="2" s="1"/>
  <c r="BC24" i="2" s="1"/>
  <c r="BQ24" i="2" s="1"/>
  <c r="CE24" i="2" s="1"/>
  <c r="CS24" i="2" s="1"/>
  <c r="DG24" i="2" s="1"/>
  <c r="DU24" i="2" s="1"/>
  <c r="EI24" i="2" s="1"/>
  <c r="Z24" i="2"/>
  <c r="AN24" i="2" s="1"/>
  <c r="BB24" i="2" s="1"/>
  <c r="BP24" i="2" s="1"/>
  <c r="CD24" i="2" s="1"/>
  <c r="CR24" i="2" s="1"/>
  <c r="DF24" i="2" s="1"/>
  <c r="DT24" i="2" s="1"/>
  <c r="EH24" i="2" s="1"/>
  <c r="BG49" i="2"/>
  <c r="BG41" i="2" s="1"/>
  <c r="BU51" i="2"/>
  <c r="BU35" i="2"/>
  <c r="CI36" i="2"/>
  <c r="AS14" i="2"/>
  <c r="CI31" i="2"/>
  <c r="BU30" i="2"/>
  <c r="BG26" i="2"/>
  <c r="BG14" i="2" s="1"/>
  <c r="BU27" i="2"/>
  <c r="AD54" i="2"/>
  <c r="BF15" i="2"/>
  <c r="BF30" i="2"/>
  <c r="BF26" i="2"/>
  <c r="AR14" i="2"/>
  <c r="BF35" i="2"/>
  <c r="BF52" i="2"/>
  <c r="BF49" i="2"/>
  <c r="BF42" i="2"/>
  <c r="BT9" i="2"/>
  <c r="BT11" i="2" s="1"/>
  <c r="BT57" i="2" s="1"/>
  <c r="BW53" i="2" l="1"/>
  <c r="BF41" i="2"/>
  <c r="U28" i="2"/>
  <c r="AI28" i="2" s="1"/>
  <c r="AW28" i="2" s="1"/>
  <c r="V53" i="2"/>
  <c r="AJ53" i="2" s="1"/>
  <c r="AX53" i="2" s="1"/>
  <c r="T7" i="2"/>
  <c r="AH7" i="2" s="1"/>
  <c r="AU7" i="2"/>
  <c r="AG9" i="2"/>
  <c r="AG11" i="2" s="1"/>
  <c r="AG57" i="2" s="1"/>
  <c r="AT9" i="2"/>
  <c r="AT11" i="2" s="1"/>
  <c r="AT57" i="2" s="1"/>
  <c r="BH7" i="2"/>
  <c r="V8" i="2"/>
  <c r="AJ8" i="2" s="1"/>
  <c r="AX8" i="2" s="1"/>
  <c r="BL8" i="2" s="1"/>
  <c r="BZ8" i="2" s="1"/>
  <c r="CN8" i="2" s="1"/>
  <c r="I8" i="2"/>
  <c r="H27" i="2"/>
  <c r="I27" i="2" s="1"/>
  <c r="AH42" i="2"/>
  <c r="BH50" i="2"/>
  <c r="AT49" i="2"/>
  <c r="AT41" i="2" s="1"/>
  <c r="G50" i="2"/>
  <c r="T50" i="2"/>
  <c r="AH50" i="2" s="1"/>
  <c r="AG49" i="2"/>
  <c r="AG41" i="2" s="1"/>
  <c r="AU50" i="2"/>
  <c r="H47" i="2"/>
  <c r="U47" i="2"/>
  <c r="AI47" i="2" s="1"/>
  <c r="AW47" i="2" s="1"/>
  <c r="AW42" i="2" s="1"/>
  <c r="AF14" i="2"/>
  <c r="AF54" i="2" s="1"/>
  <c r="AF58" i="2" s="1"/>
  <c r="AF59" i="2" s="1"/>
  <c r="AU36" i="2"/>
  <c r="AG35" i="2"/>
  <c r="G36" i="2"/>
  <c r="T36" i="2"/>
  <c r="AH36" i="2" s="1"/>
  <c r="BH36" i="2"/>
  <c r="AT35" i="2"/>
  <c r="G16" i="2"/>
  <c r="T16" i="2"/>
  <c r="AH16" i="2" s="1"/>
  <c r="AV16" i="2" s="1"/>
  <c r="BJ16" i="2" s="1"/>
  <c r="BX16" i="2" s="1"/>
  <c r="CL16" i="2" s="1"/>
  <c r="CZ16" i="2" s="1"/>
  <c r="DN16" i="2" s="1"/>
  <c r="EB16" i="2" s="1"/>
  <c r="CZ53" i="2"/>
  <c r="CL52" i="2"/>
  <c r="BK53" i="2"/>
  <c r="AW52" i="2"/>
  <c r="W53" i="2"/>
  <c r="AK53" i="2" s="1"/>
  <c r="J53" i="2"/>
  <c r="AS54" i="2"/>
  <c r="AS58" i="2" s="1"/>
  <c r="AS59" i="2" s="1"/>
  <c r="I51" i="2"/>
  <c r="V51" i="2"/>
  <c r="AJ51" i="2" s="1"/>
  <c r="BJ51" i="2"/>
  <c r="AW51" i="2"/>
  <c r="W46" i="2"/>
  <c r="AK46" i="2" s="1"/>
  <c r="J46" i="2"/>
  <c r="BK46" i="2"/>
  <c r="BJ48" i="2"/>
  <c r="W43" i="2"/>
  <c r="AK43" i="2" s="1"/>
  <c r="J43" i="2"/>
  <c r="BK43" i="2"/>
  <c r="BJ44" i="2"/>
  <c r="AV42" i="2"/>
  <c r="AX43" i="2"/>
  <c r="V44" i="2"/>
  <c r="AJ44" i="2" s="1"/>
  <c r="I44" i="2"/>
  <c r="I48" i="2"/>
  <c r="V48" i="2"/>
  <c r="AJ48" i="2" s="1"/>
  <c r="I45" i="2"/>
  <c r="V45" i="2"/>
  <c r="AJ45" i="2" s="1"/>
  <c r="AX45" i="2" s="1"/>
  <c r="BJ40" i="2"/>
  <c r="I38" i="2"/>
  <c r="V38" i="2"/>
  <c r="AJ38" i="2" s="1"/>
  <c r="BJ38" i="2"/>
  <c r="V40" i="2"/>
  <c r="AJ40" i="2" s="1"/>
  <c r="I40" i="2"/>
  <c r="AX39" i="2"/>
  <c r="V37" i="2"/>
  <c r="AJ37" i="2" s="1"/>
  <c r="AX37" i="2" s="1"/>
  <c r="BL37" i="2" s="1"/>
  <c r="BZ37" i="2" s="1"/>
  <c r="CN37" i="2" s="1"/>
  <c r="DB37" i="2" s="1"/>
  <c r="I37" i="2"/>
  <c r="W39" i="2"/>
  <c r="AK39" i="2" s="1"/>
  <c r="AY39" i="2" s="1"/>
  <c r="BM39" i="2" s="1"/>
  <c r="CA39" i="2" s="1"/>
  <c r="CO39" i="2" s="1"/>
  <c r="DC39" i="2" s="1"/>
  <c r="J39" i="2"/>
  <c r="AW37" i="2"/>
  <c r="W34" i="2"/>
  <c r="AK34" i="2" s="1"/>
  <c r="AY34" i="2" s="1"/>
  <c r="BM34" i="2" s="1"/>
  <c r="CA34" i="2" s="1"/>
  <c r="CO34" i="2" s="1"/>
  <c r="DC34" i="2" s="1"/>
  <c r="DQ34" i="2" s="1"/>
  <c r="EE34" i="2" s="1"/>
  <c r="J34" i="2"/>
  <c r="AX34" i="2"/>
  <c r="H33" i="2"/>
  <c r="U33" i="2"/>
  <c r="AI33" i="2" s="1"/>
  <c r="AW33" i="2" s="1"/>
  <c r="BK33" i="2" s="1"/>
  <c r="BY33" i="2" s="1"/>
  <c r="CM33" i="2" s="1"/>
  <c r="DA33" i="2" s="1"/>
  <c r="DO33" i="2" s="1"/>
  <c r="EC33" i="2" s="1"/>
  <c r="BI33" i="2"/>
  <c r="BI30" i="2" s="1"/>
  <c r="CK44" i="2"/>
  <c r="BW42" i="2"/>
  <c r="CM8" i="2"/>
  <c r="CK53" i="2"/>
  <c r="BW52" i="2"/>
  <c r="G18" i="2"/>
  <c r="T18" i="2"/>
  <c r="AH18" i="2" s="1"/>
  <c r="AV18" i="2" s="1"/>
  <c r="BJ18" i="2" s="1"/>
  <c r="BX18" i="2" s="1"/>
  <c r="CL18" i="2" s="1"/>
  <c r="CZ18" i="2" s="1"/>
  <c r="DN18" i="2" s="1"/>
  <c r="EB18" i="2" s="1"/>
  <c r="CW48" i="2"/>
  <c r="CI42" i="2"/>
  <c r="CI53" i="2"/>
  <c r="BU52" i="2"/>
  <c r="DA44" i="2"/>
  <c r="CJ44" i="2"/>
  <c r="BV42" i="2"/>
  <c r="CX38" i="2"/>
  <c r="CJ53" i="2"/>
  <c r="BV52" i="2"/>
  <c r="CZ47" i="2"/>
  <c r="DL45" i="2"/>
  <c r="H19" i="2"/>
  <c r="U19" i="2"/>
  <c r="AI19" i="2" s="1"/>
  <c r="AV30" i="2"/>
  <c r="H23" i="2"/>
  <c r="U23" i="2"/>
  <c r="AI23" i="2" s="1"/>
  <c r="AW23" i="2" s="1"/>
  <c r="BK23" i="2" s="1"/>
  <c r="BY23" i="2" s="1"/>
  <c r="CM23" i="2" s="1"/>
  <c r="DA23" i="2" s="1"/>
  <c r="DO23" i="2" s="1"/>
  <c r="EC23" i="2" s="1"/>
  <c r="BI23" i="2"/>
  <c r="AH30" i="2"/>
  <c r="H21" i="2"/>
  <c r="U21" i="2"/>
  <c r="AI21" i="2" s="1"/>
  <c r="AW21" i="2" s="1"/>
  <c r="BK21" i="2" s="1"/>
  <c r="BY21" i="2" s="1"/>
  <c r="CM21" i="2" s="1"/>
  <c r="DA21" i="2" s="1"/>
  <c r="DO21" i="2" s="1"/>
  <c r="EC21" i="2" s="1"/>
  <c r="BH20" i="2"/>
  <c r="AT15" i="2"/>
  <c r="U22" i="2"/>
  <c r="AI22" i="2" s="1"/>
  <c r="AW22" i="2" s="1"/>
  <c r="BK22" i="2" s="1"/>
  <c r="H22" i="2"/>
  <c r="AU20" i="2"/>
  <c r="AG15" i="2"/>
  <c r="G20" i="2"/>
  <c r="T20" i="2"/>
  <c r="AH20" i="2" s="1"/>
  <c r="U31" i="2"/>
  <c r="AI31" i="2" s="1"/>
  <c r="AW31" i="2" s="1"/>
  <c r="BK31" i="2" s="1"/>
  <c r="BY31" i="2" s="1"/>
  <c r="CM31" i="2" s="1"/>
  <c r="DA31" i="2" s="1"/>
  <c r="H31" i="2"/>
  <c r="AV19" i="2"/>
  <c r="G25" i="2"/>
  <c r="T25" i="2"/>
  <c r="AH25" i="2" s="1"/>
  <c r="AV25" i="2" s="1"/>
  <c r="BJ25" i="2" s="1"/>
  <c r="BX25" i="2" s="1"/>
  <c r="CL25" i="2" s="1"/>
  <c r="CZ25" i="2" s="1"/>
  <c r="DN25" i="2" s="1"/>
  <c r="EB25" i="2" s="1"/>
  <c r="BJ30" i="2"/>
  <c r="BX31" i="2"/>
  <c r="AW32" i="2"/>
  <c r="CY31" i="2"/>
  <c r="DM31" i="2" s="1"/>
  <c r="BW32" i="2"/>
  <c r="V32" i="2"/>
  <c r="AJ32" i="2" s="1"/>
  <c r="AX32" i="2" s="1"/>
  <c r="BL32" i="2" s="1"/>
  <c r="BZ32" i="2" s="1"/>
  <c r="CN32" i="2" s="1"/>
  <c r="DB32" i="2" s="1"/>
  <c r="DP32" i="2" s="1"/>
  <c r="ED32" i="2" s="1"/>
  <c r="I32" i="2"/>
  <c r="AV26" i="2"/>
  <c r="BJ27" i="2"/>
  <c r="BJ28" i="2"/>
  <c r="AW29" i="2"/>
  <c r="I28" i="2"/>
  <c r="V28" i="2"/>
  <c r="AJ28" i="2" s="1"/>
  <c r="I29" i="2"/>
  <c r="V29" i="2"/>
  <c r="AJ29" i="2" s="1"/>
  <c r="AX29" i="2" s="1"/>
  <c r="BL29" i="2" s="1"/>
  <c r="BZ29" i="2" s="1"/>
  <c r="CN29" i="2" s="1"/>
  <c r="DB29" i="2" s="1"/>
  <c r="DP29" i="2" s="1"/>
  <c r="ED29" i="2" s="1"/>
  <c r="BI26" i="2"/>
  <c r="BW27" i="2"/>
  <c r="BV26" i="2"/>
  <c r="CJ29" i="2"/>
  <c r="AI26" i="2"/>
  <c r="AP24" i="2"/>
  <c r="BL17" i="2"/>
  <c r="AY17" i="2"/>
  <c r="BO24" i="2"/>
  <c r="BD24" i="2"/>
  <c r="CM17" i="2"/>
  <c r="K17" i="2"/>
  <c r="X17" i="2"/>
  <c r="AL17" i="2" s="1"/>
  <c r="DM17" i="2"/>
  <c r="BG54" i="2"/>
  <c r="BG58" i="2" s="1"/>
  <c r="BG59" i="2" s="1"/>
  <c r="BU49" i="2"/>
  <c r="BU41" i="2" s="1"/>
  <c r="CI51" i="2"/>
  <c r="CI35" i="2"/>
  <c r="CW36" i="2"/>
  <c r="CW31" i="2"/>
  <c r="CI30" i="2"/>
  <c r="BU26" i="2"/>
  <c r="BU14" i="2" s="1"/>
  <c r="CI27" i="2"/>
  <c r="AD58" i="2"/>
  <c r="BT30" i="2"/>
  <c r="BT26" i="2"/>
  <c r="CH9" i="2"/>
  <c r="CH11" i="2" s="1"/>
  <c r="CH57" i="2" s="1"/>
  <c r="BF14" i="2"/>
  <c r="BT42" i="2"/>
  <c r="BT49" i="2"/>
  <c r="BT52" i="2"/>
  <c r="BT35" i="2"/>
  <c r="AR54" i="2"/>
  <c r="BT15" i="2"/>
  <c r="AJ52" i="2" l="1"/>
  <c r="BT41" i="2"/>
  <c r="V27" i="2"/>
  <c r="AJ27" i="2" s="1"/>
  <c r="AJ26" i="2" s="1"/>
  <c r="BI7" i="2"/>
  <c r="AU9" i="2"/>
  <c r="AU11" i="2" s="1"/>
  <c r="AU57" i="2" s="1"/>
  <c r="BH9" i="2"/>
  <c r="BH11" i="2" s="1"/>
  <c r="BH57" i="2" s="1"/>
  <c r="BV7" i="2"/>
  <c r="U7" i="2"/>
  <c r="AI7" i="2" s="1"/>
  <c r="AV7" i="2"/>
  <c r="AH9" i="2"/>
  <c r="AH11" i="2" s="1"/>
  <c r="AH57" i="2" s="1"/>
  <c r="W8" i="2"/>
  <c r="AK8" i="2" s="1"/>
  <c r="AY8" i="2" s="1"/>
  <c r="BM8" i="2" s="1"/>
  <c r="CA8" i="2" s="1"/>
  <c r="CO8" i="2" s="1"/>
  <c r="DC8" i="2" s="1"/>
  <c r="DQ8" i="2" s="1"/>
  <c r="EE8" i="2" s="1"/>
  <c r="J8" i="2"/>
  <c r="AI42" i="2"/>
  <c r="BI50" i="2"/>
  <c r="AU49" i="2"/>
  <c r="AU41" i="2" s="1"/>
  <c r="H50" i="2"/>
  <c r="U50" i="2"/>
  <c r="AI50" i="2" s="1"/>
  <c r="AH49" i="2"/>
  <c r="AH41" i="2" s="1"/>
  <c r="AV50" i="2"/>
  <c r="BV50" i="2"/>
  <c r="BH49" i="2"/>
  <c r="BH41" i="2" s="1"/>
  <c r="BK47" i="2"/>
  <c r="BY47" i="2" s="1"/>
  <c r="V47" i="2"/>
  <c r="AJ47" i="2" s="1"/>
  <c r="AX47" i="2" s="1"/>
  <c r="BL47" i="2" s="1"/>
  <c r="BZ47" i="2" s="1"/>
  <c r="CN47" i="2" s="1"/>
  <c r="DB47" i="2" s="1"/>
  <c r="DP47" i="2" s="1"/>
  <c r="ED47" i="2" s="1"/>
  <c r="I47" i="2"/>
  <c r="AT14" i="2"/>
  <c r="AT54" i="2" s="1"/>
  <c r="AT58" i="2" s="1"/>
  <c r="AT59" i="2" s="1"/>
  <c r="BI36" i="2"/>
  <c r="AU35" i="2"/>
  <c r="AG14" i="2"/>
  <c r="AG54" i="2" s="1"/>
  <c r="AG58" i="2" s="1"/>
  <c r="AG59" i="2" s="1"/>
  <c r="BV36" i="2"/>
  <c r="BH35" i="2"/>
  <c r="AV36" i="2"/>
  <c r="AH35" i="2"/>
  <c r="H36" i="2"/>
  <c r="U36" i="2"/>
  <c r="AI36" i="2" s="1"/>
  <c r="AI30" i="2"/>
  <c r="H16" i="2"/>
  <c r="U16" i="2"/>
  <c r="AI16" i="2" s="1"/>
  <c r="AW16" i="2" s="1"/>
  <c r="BK16" i="2" s="1"/>
  <c r="BY16" i="2" s="1"/>
  <c r="CM16" i="2" s="1"/>
  <c r="DA16" i="2" s="1"/>
  <c r="DO16" i="2" s="1"/>
  <c r="EC16" i="2" s="1"/>
  <c r="X53" i="2"/>
  <c r="AL53" i="2" s="1"/>
  <c r="K53" i="2"/>
  <c r="BK52" i="2"/>
  <c r="BY53" i="2"/>
  <c r="BL53" i="2"/>
  <c r="AX52" i="2"/>
  <c r="AY53" i="2"/>
  <c r="AK52" i="2"/>
  <c r="DN53" i="2"/>
  <c r="CZ52" i="2"/>
  <c r="BU54" i="2"/>
  <c r="BU58" i="2" s="1"/>
  <c r="BU59" i="2" s="1"/>
  <c r="BK51" i="2"/>
  <c r="BX51" i="2"/>
  <c r="AX51" i="2"/>
  <c r="W51" i="2"/>
  <c r="AK51" i="2" s="1"/>
  <c r="J51" i="2"/>
  <c r="X43" i="2"/>
  <c r="AL43" i="2" s="1"/>
  <c r="K43" i="2"/>
  <c r="BL45" i="2"/>
  <c r="BX48" i="2"/>
  <c r="J45" i="2"/>
  <c r="W45" i="2"/>
  <c r="AK45" i="2" s="1"/>
  <c r="AX48" i="2"/>
  <c r="BX44" i="2"/>
  <c r="BJ42" i="2"/>
  <c r="X46" i="2"/>
  <c r="AL46" i="2" s="1"/>
  <c r="AZ46" i="2" s="1"/>
  <c r="BN46" i="2" s="1"/>
  <c r="CB46" i="2" s="1"/>
  <c r="CP46" i="2" s="1"/>
  <c r="DD46" i="2" s="1"/>
  <c r="DR46" i="2" s="1"/>
  <c r="EF46" i="2" s="1"/>
  <c r="K46" i="2"/>
  <c r="J48" i="2"/>
  <c r="W48" i="2"/>
  <c r="AK48" i="2" s="1"/>
  <c r="AY48" i="2" s="1"/>
  <c r="BM48" i="2" s="1"/>
  <c r="CA48" i="2" s="1"/>
  <c r="CO48" i="2" s="1"/>
  <c r="DC48" i="2" s="1"/>
  <c r="DQ48" i="2" s="1"/>
  <c r="EE48" i="2" s="1"/>
  <c r="BY46" i="2"/>
  <c r="J44" i="2"/>
  <c r="W44" i="2"/>
  <c r="AK44" i="2" s="1"/>
  <c r="AY44" i="2" s="1"/>
  <c r="BM44" i="2" s="1"/>
  <c r="CA44" i="2" s="1"/>
  <c r="CO44" i="2" s="1"/>
  <c r="DC44" i="2" s="1"/>
  <c r="DQ44" i="2" s="1"/>
  <c r="EE44" i="2" s="1"/>
  <c r="BY43" i="2"/>
  <c r="AX44" i="2"/>
  <c r="AY43" i="2"/>
  <c r="BL43" i="2"/>
  <c r="AY46" i="2"/>
  <c r="J40" i="2"/>
  <c r="W40" i="2"/>
  <c r="AK40" i="2" s="1"/>
  <c r="AY40" i="2" s="1"/>
  <c r="BM40" i="2" s="1"/>
  <c r="CA40" i="2" s="1"/>
  <c r="CO40" i="2" s="1"/>
  <c r="DC40" i="2" s="1"/>
  <c r="DQ40" i="2" s="1"/>
  <c r="EE40" i="2" s="1"/>
  <c r="BK37" i="2"/>
  <c r="AX40" i="2"/>
  <c r="J38" i="2"/>
  <c r="W38" i="2"/>
  <c r="AK38" i="2" s="1"/>
  <c r="AY38" i="2" s="1"/>
  <c r="BM38" i="2" s="1"/>
  <c r="CA38" i="2" s="1"/>
  <c r="CO38" i="2" s="1"/>
  <c r="DC38" i="2" s="1"/>
  <c r="DQ38" i="2" s="1"/>
  <c r="EE38" i="2" s="1"/>
  <c r="BX40" i="2"/>
  <c r="BL39" i="2"/>
  <c r="X39" i="2"/>
  <c r="AL39" i="2" s="1"/>
  <c r="K39" i="2"/>
  <c r="BX38" i="2"/>
  <c r="J37" i="2"/>
  <c r="W37" i="2"/>
  <c r="AK37" i="2" s="1"/>
  <c r="AY37" i="2" s="1"/>
  <c r="BM37" i="2" s="1"/>
  <c r="CA37" i="2" s="1"/>
  <c r="CO37" i="2" s="1"/>
  <c r="DC37" i="2" s="1"/>
  <c r="DQ37" i="2" s="1"/>
  <c r="EE37" i="2" s="1"/>
  <c r="AX38" i="2"/>
  <c r="X34" i="2"/>
  <c r="AL34" i="2" s="1"/>
  <c r="AZ34" i="2" s="1"/>
  <c r="BN34" i="2" s="1"/>
  <c r="CB34" i="2" s="1"/>
  <c r="CP34" i="2" s="1"/>
  <c r="DD34" i="2" s="1"/>
  <c r="DR34" i="2" s="1"/>
  <c r="EF34" i="2" s="1"/>
  <c r="K34" i="2"/>
  <c r="BL34" i="2"/>
  <c r="V33" i="2"/>
  <c r="AJ33" i="2" s="1"/>
  <c r="I33" i="2"/>
  <c r="BW33" i="2"/>
  <c r="BW30" i="2" s="1"/>
  <c r="DN47" i="2"/>
  <c r="CK42" i="2"/>
  <c r="CY44" i="2"/>
  <c r="U18" i="2"/>
  <c r="AI18" i="2" s="1"/>
  <c r="AW18" i="2" s="1"/>
  <c r="BK18" i="2" s="1"/>
  <c r="BY18" i="2" s="1"/>
  <c r="CM18" i="2" s="1"/>
  <c r="DA18" i="2" s="1"/>
  <c r="DO18" i="2" s="1"/>
  <c r="EC18" i="2" s="1"/>
  <c r="H18" i="2"/>
  <c r="DL38" i="2"/>
  <c r="DQ39" i="2"/>
  <c r="CX53" i="2"/>
  <c r="CJ52" i="2"/>
  <c r="CX44" i="2"/>
  <c r="CJ42" i="2"/>
  <c r="DP37" i="2"/>
  <c r="DB8" i="2"/>
  <c r="CW53" i="2"/>
  <c r="CI52" i="2"/>
  <c r="CY53" i="2"/>
  <c r="CK52" i="2"/>
  <c r="DZ45" i="2"/>
  <c r="CW42" i="2"/>
  <c r="DK48" i="2"/>
  <c r="DO44" i="2"/>
  <c r="DA8" i="2"/>
  <c r="BJ19" i="2"/>
  <c r="V22" i="2"/>
  <c r="AJ22" i="2" s="1"/>
  <c r="AX22" i="2" s="1"/>
  <c r="BL22" i="2" s="1"/>
  <c r="BZ22" i="2" s="1"/>
  <c r="CN22" i="2" s="1"/>
  <c r="DB22" i="2" s="1"/>
  <c r="DP22" i="2" s="1"/>
  <c r="I22" i="2"/>
  <c r="I31" i="2"/>
  <c r="V31" i="2"/>
  <c r="AJ31" i="2" s="1"/>
  <c r="AX31" i="2" s="1"/>
  <c r="BL31" i="2" s="1"/>
  <c r="BW23" i="2"/>
  <c r="AW30" i="2"/>
  <c r="AV20" i="2"/>
  <c r="BJ20" i="2" s="1"/>
  <c r="BX20" i="2" s="1"/>
  <c r="CL20" i="2" s="1"/>
  <c r="CZ20" i="2" s="1"/>
  <c r="I23" i="2"/>
  <c r="V23" i="2"/>
  <c r="AJ23" i="2" s="1"/>
  <c r="H20" i="2"/>
  <c r="U20" i="2"/>
  <c r="AI20" i="2" s="1"/>
  <c r="AW20" i="2" s="1"/>
  <c r="BK20" i="2" s="1"/>
  <c r="BY20" i="2" s="1"/>
  <c r="CM20" i="2" s="1"/>
  <c r="DA20" i="2" s="1"/>
  <c r="DO20" i="2" s="1"/>
  <c r="EC20" i="2" s="1"/>
  <c r="BV20" i="2"/>
  <c r="BH15" i="2"/>
  <c r="H25" i="2"/>
  <c r="U25" i="2"/>
  <c r="AI25" i="2" s="1"/>
  <c r="AW25" i="2" s="1"/>
  <c r="BK25" i="2" s="1"/>
  <c r="BY25" i="2" s="1"/>
  <c r="CM25" i="2" s="1"/>
  <c r="DA25" i="2" s="1"/>
  <c r="DO25" i="2" s="1"/>
  <c r="EC25" i="2" s="1"/>
  <c r="BI20" i="2"/>
  <c r="AU15" i="2"/>
  <c r="I21" i="2"/>
  <c r="V21" i="2"/>
  <c r="AJ21" i="2" s="1"/>
  <c r="AX21" i="2" s="1"/>
  <c r="BL21" i="2" s="1"/>
  <c r="BZ21" i="2" s="1"/>
  <c r="CN21" i="2" s="1"/>
  <c r="DB21" i="2" s="1"/>
  <c r="DP21" i="2" s="1"/>
  <c r="ED21" i="2" s="1"/>
  <c r="AW19" i="2"/>
  <c r="AH15" i="2"/>
  <c r="I19" i="2"/>
  <c r="V19" i="2"/>
  <c r="AJ19" i="2" s="1"/>
  <c r="J32" i="2"/>
  <c r="W32" i="2"/>
  <c r="AK32" i="2" s="1"/>
  <c r="AY32" i="2" s="1"/>
  <c r="BM32" i="2" s="1"/>
  <c r="CA32" i="2" s="1"/>
  <c r="CO32" i="2" s="1"/>
  <c r="DC32" i="2" s="1"/>
  <c r="DQ32" i="2" s="1"/>
  <c r="EE32" i="2" s="1"/>
  <c r="BX30" i="2"/>
  <c r="CL31" i="2"/>
  <c r="CK32" i="2"/>
  <c r="EA31" i="2"/>
  <c r="DO31" i="2"/>
  <c r="EC31" i="2" s="1"/>
  <c r="BK32" i="2"/>
  <c r="BW26" i="2"/>
  <c r="CK27" i="2"/>
  <c r="BK29" i="2"/>
  <c r="J29" i="2"/>
  <c r="W29" i="2"/>
  <c r="AK29" i="2" s="1"/>
  <c r="AX28" i="2"/>
  <c r="BL28" i="2" s="1"/>
  <c r="BZ28" i="2" s="1"/>
  <c r="CN28" i="2" s="1"/>
  <c r="DB28" i="2" s="1"/>
  <c r="DP28" i="2" s="1"/>
  <c r="ED28" i="2" s="1"/>
  <c r="AW26" i="2"/>
  <c r="BK28" i="2"/>
  <c r="CJ26" i="2"/>
  <c r="CX29" i="2"/>
  <c r="BX28" i="2"/>
  <c r="W27" i="2"/>
  <c r="AK27" i="2" s="1"/>
  <c r="J27" i="2"/>
  <c r="J28" i="2"/>
  <c r="W28" i="2"/>
  <c r="AK28" i="2" s="1"/>
  <c r="AY28" i="2" s="1"/>
  <c r="BM28" i="2" s="1"/>
  <c r="CA28" i="2" s="1"/>
  <c r="CO28" i="2" s="1"/>
  <c r="DC28" i="2" s="1"/>
  <c r="DQ28" i="2" s="1"/>
  <c r="EE28" i="2" s="1"/>
  <c r="BJ26" i="2"/>
  <c r="BX27" i="2"/>
  <c r="CC24" i="2"/>
  <c r="BR24" i="2"/>
  <c r="BM17" i="2"/>
  <c r="BY22" i="2"/>
  <c r="AZ17" i="2"/>
  <c r="BZ17" i="2"/>
  <c r="EA17" i="2"/>
  <c r="L17" i="2"/>
  <c r="Y17" i="2"/>
  <c r="AM17" i="2" s="1"/>
  <c r="BA17" i="2" s="1"/>
  <c r="DA17" i="2"/>
  <c r="CI49" i="2"/>
  <c r="CW51" i="2"/>
  <c r="DK36" i="2"/>
  <c r="CW35" i="2"/>
  <c r="CW30" i="2"/>
  <c r="DK31" i="2"/>
  <c r="CW27" i="2"/>
  <c r="CI26" i="2"/>
  <c r="CI14" i="2" s="1"/>
  <c r="AD59" i="2"/>
  <c r="CH52" i="2"/>
  <c r="CH26" i="2"/>
  <c r="BT14" i="2"/>
  <c r="CV9" i="2"/>
  <c r="CV11" i="2" s="1"/>
  <c r="CV57" i="2" s="1"/>
  <c r="CH15" i="2"/>
  <c r="BF54" i="2"/>
  <c r="CH30" i="2"/>
  <c r="AR58" i="2"/>
  <c r="CH35" i="2"/>
  <c r="CH42" i="2"/>
  <c r="CH49" i="2"/>
  <c r="CI41" i="2" l="1"/>
  <c r="CI54" i="2" s="1"/>
  <c r="CI58" i="2" s="1"/>
  <c r="CI59" i="2" s="1"/>
  <c r="CH41" i="2"/>
  <c r="AX27" i="2"/>
  <c r="BL27" i="2" s="1"/>
  <c r="AW7" i="2"/>
  <c r="AI9" i="2"/>
  <c r="AI11" i="2" s="1"/>
  <c r="AI57" i="2" s="1"/>
  <c r="BV9" i="2"/>
  <c r="BV11" i="2" s="1"/>
  <c r="BV57" i="2" s="1"/>
  <c r="CJ7" i="2"/>
  <c r="V7" i="2"/>
  <c r="AJ7" i="2" s="1"/>
  <c r="BJ7" i="2"/>
  <c r="AV9" i="2"/>
  <c r="AV11" i="2" s="1"/>
  <c r="AV57" i="2" s="1"/>
  <c r="BW7" i="2"/>
  <c r="BI9" i="2"/>
  <c r="BI11" i="2" s="1"/>
  <c r="BI57" i="2" s="1"/>
  <c r="X8" i="2"/>
  <c r="AL8" i="2" s="1"/>
  <c r="AZ8" i="2" s="1"/>
  <c r="BN8" i="2" s="1"/>
  <c r="CB8" i="2" s="1"/>
  <c r="CP8" i="2" s="1"/>
  <c r="DD8" i="2" s="1"/>
  <c r="DR8" i="2" s="1"/>
  <c r="EF8" i="2" s="1"/>
  <c r="K8" i="2"/>
  <c r="AJ42" i="2"/>
  <c r="BK42" i="2"/>
  <c r="AH14" i="2"/>
  <c r="AH54" i="2" s="1"/>
  <c r="AH58" i="2" s="1"/>
  <c r="AH59" i="2" s="1"/>
  <c r="AU14" i="2"/>
  <c r="AU54" i="2" s="1"/>
  <c r="AU58" i="2" s="1"/>
  <c r="AU59" i="2" s="1"/>
  <c r="AJ30" i="2"/>
  <c r="CJ50" i="2"/>
  <c r="BV49" i="2"/>
  <c r="BV41" i="2" s="1"/>
  <c r="AW50" i="2"/>
  <c r="AI49" i="2"/>
  <c r="AI41" i="2" s="1"/>
  <c r="I50" i="2"/>
  <c r="V50" i="2"/>
  <c r="AJ50" i="2" s="1"/>
  <c r="BJ50" i="2"/>
  <c r="AV49" i="2"/>
  <c r="AV41" i="2" s="1"/>
  <c r="BW50" i="2"/>
  <c r="BI49" i="2"/>
  <c r="BI41" i="2" s="1"/>
  <c r="W47" i="2"/>
  <c r="AK47" i="2" s="1"/>
  <c r="AY47" i="2" s="1"/>
  <c r="BM47" i="2" s="1"/>
  <c r="J47" i="2"/>
  <c r="BJ36" i="2"/>
  <c r="AV35" i="2"/>
  <c r="BH14" i="2"/>
  <c r="BH54" i="2" s="1"/>
  <c r="BH58" i="2" s="1"/>
  <c r="BH59" i="2" s="1"/>
  <c r="CJ36" i="2"/>
  <c r="BV35" i="2"/>
  <c r="AW36" i="2"/>
  <c r="AI35" i="2"/>
  <c r="BW36" i="2"/>
  <c r="BI35" i="2"/>
  <c r="I36" i="2"/>
  <c r="V36" i="2"/>
  <c r="AJ36" i="2" s="1"/>
  <c r="I16" i="2"/>
  <c r="V16" i="2"/>
  <c r="AJ16" i="2" s="1"/>
  <c r="EB53" i="2"/>
  <c r="EB52" i="2" s="1"/>
  <c r="DN52" i="2"/>
  <c r="CM53" i="2"/>
  <c r="BY52" i="2"/>
  <c r="BZ53" i="2"/>
  <c r="BL52" i="2"/>
  <c r="BM53" i="2"/>
  <c r="AY52" i="2"/>
  <c r="L53" i="2"/>
  <c r="Y53" i="2"/>
  <c r="AM53" i="2" s="1"/>
  <c r="AZ53" i="2"/>
  <c r="AL52" i="2"/>
  <c r="BL51" i="2"/>
  <c r="CL51" i="2"/>
  <c r="AY51" i="2"/>
  <c r="X51" i="2"/>
  <c r="AL51" i="2" s="1"/>
  <c r="K51" i="2"/>
  <c r="BY51" i="2"/>
  <c r="BM43" i="2"/>
  <c r="K44" i="2"/>
  <c r="X44" i="2"/>
  <c r="AL44" i="2" s="1"/>
  <c r="AZ44" i="2" s="1"/>
  <c r="BN44" i="2" s="1"/>
  <c r="CB44" i="2" s="1"/>
  <c r="CP44" i="2" s="1"/>
  <c r="DD44" i="2" s="1"/>
  <c r="DR44" i="2" s="1"/>
  <c r="EF44" i="2" s="1"/>
  <c r="BL48" i="2"/>
  <c r="BL44" i="2"/>
  <c r="AY45" i="2"/>
  <c r="BM46" i="2"/>
  <c r="Y46" i="2"/>
  <c r="AM46" i="2" s="1"/>
  <c r="BA46" i="2" s="1"/>
  <c r="BO46" i="2" s="1"/>
  <c r="CC46" i="2" s="1"/>
  <c r="CQ46" i="2" s="1"/>
  <c r="DE46" i="2" s="1"/>
  <c r="DS46" i="2" s="1"/>
  <c r="EG46" i="2" s="1"/>
  <c r="L46" i="2"/>
  <c r="X45" i="2"/>
  <c r="AL45" i="2" s="1"/>
  <c r="AZ45" i="2" s="1"/>
  <c r="BN45" i="2" s="1"/>
  <c r="CB45" i="2" s="1"/>
  <c r="CP45" i="2" s="1"/>
  <c r="DD45" i="2" s="1"/>
  <c r="DR45" i="2" s="1"/>
  <c r="EF45" i="2" s="1"/>
  <c r="K45" i="2"/>
  <c r="CM47" i="2"/>
  <c r="AX42" i="2"/>
  <c r="BZ45" i="2"/>
  <c r="BZ43" i="2"/>
  <c r="CM46" i="2"/>
  <c r="L43" i="2"/>
  <c r="Y43" i="2"/>
  <c r="AM43" i="2" s="1"/>
  <c r="CM43" i="2"/>
  <c r="BY42" i="2"/>
  <c r="CL44" i="2"/>
  <c r="BX42" i="2"/>
  <c r="CL48" i="2"/>
  <c r="AZ43" i="2"/>
  <c r="K48" i="2"/>
  <c r="X48" i="2"/>
  <c r="AL48" i="2" s="1"/>
  <c r="BY37" i="2"/>
  <c r="CL40" i="2"/>
  <c r="BZ39" i="2"/>
  <c r="BL38" i="2"/>
  <c r="AZ39" i="2"/>
  <c r="K38" i="2"/>
  <c r="X38" i="2"/>
  <c r="AL38" i="2" s="1"/>
  <c r="AZ38" i="2" s="1"/>
  <c r="BN38" i="2" s="1"/>
  <c r="CB38" i="2" s="1"/>
  <c r="CP38" i="2" s="1"/>
  <c r="DD38" i="2" s="1"/>
  <c r="DR38" i="2" s="1"/>
  <c r="EF38" i="2" s="1"/>
  <c r="K40" i="2"/>
  <c r="X40" i="2"/>
  <c r="AL40" i="2" s="1"/>
  <c r="AZ40" i="2" s="1"/>
  <c r="BN40" i="2" s="1"/>
  <c r="CB40" i="2" s="1"/>
  <c r="CP40" i="2" s="1"/>
  <c r="DD40" i="2" s="1"/>
  <c r="DR40" i="2" s="1"/>
  <c r="EF40" i="2" s="1"/>
  <c r="Y39" i="2"/>
  <c r="AM39" i="2" s="1"/>
  <c r="BA39" i="2" s="1"/>
  <c r="BO39" i="2" s="1"/>
  <c r="CC39" i="2" s="1"/>
  <c r="CQ39" i="2" s="1"/>
  <c r="DE39" i="2" s="1"/>
  <c r="DS39" i="2" s="1"/>
  <c r="EG39" i="2" s="1"/>
  <c r="L39" i="2"/>
  <c r="K37" i="2"/>
  <c r="X37" i="2"/>
  <c r="AL37" i="2" s="1"/>
  <c r="AZ37" i="2" s="1"/>
  <c r="CL38" i="2"/>
  <c r="BL40" i="2"/>
  <c r="L34" i="2"/>
  <c r="Y34" i="2"/>
  <c r="AM34" i="2" s="1"/>
  <c r="BA34" i="2" s="1"/>
  <c r="BO34" i="2" s="1"/>
  <c r="CC34" i="2" s="1"/>
  <c r="CQ34" i="2" s="1"/>
  <c r="DE34" i="2" s="1"/>
  <c r="DS34" i="2" s="1"/>
  <c r="EG34" i="2" s="1"/>
  <c r="BZ34" i="2"/>
  <c r="CK33" i="2"/>
  <c r="CK30" i="2" s="1"/>
  <c r="W33" i="2"/>
  <c r="AK33" i="2" s="1"/>
  <c r="AY33" i="2" s="1"/>
  <c r="BM33" i="2" s="1"/>
  <c r="CA33" i="2" s="1"/>
  <c r="CO33" i="2" s="1"/>
  <c r="DC33" i="2" s="1"/>
  <c r="DQ33" i="2" s="1"/>
  <c r="EE33" i="2" s="1"/>
  <c r="J33" i="2"/>
  <c r="AX33" i="2"/>
  <c r="DP8" i="2"/>
  <c r="DL53" i="2"/>
  <c r="CX52" i="2"/>
  <c r="I18" i="2"/>
  <c r="V18" i="2"/>
  <c r="AJ18" i="2" s="1"/>
  <c r="AX18" i="2" s="1"/>
  <c r="BL18" i="2" s="1"/>
  <c r="BZ18" i="2" s="1"/>
  <c r="CN18" i="2" s="1"/>
  <c r="DY48" i="2"/>
  <c r="DY42" i="2" s="1"/>
  <c r="DK42" i="2"/>
  <c r="ED37" i="2"/>
  <c r="EE39" i="2"/>
  <c r="DM44" i="2"/>
  <c r="CY42" i="2"/>
  <c r="EB47" i="2"/>
  <c r="EC44" i="2"/>
  <c r="DK53" i="2"/>
  <c r="CW52" i="2"/>
  <c r="DO8" i="2"/>
  <c r="DM53" i="2"/>
  <c r="CY52" i="2"/>
  <c r="DL44" i="2"/>
  <c r="CX42" i="2"/>
  <c r="DZ38" i="2"/>
  <c r="J19" i="2"/>
  <c r="W19" i="2"/>
  <c r="AK19" i="2" s="1"/>
  <c r="BW20" i="2"/>
  <c r="BI15" i="2"/>
  <c r="V20" i="2"/>
  <c r="AJ20" i="2" s="1"/>
  <c r="AX20" i="2" s="1"/>
  <c r="BL20" i="2" s="1"/>
  <c r="BZ20" i="2" s="1"/>
  <c r="CN20" i="2" s="1"/>
  <c r="DB20" i="2" s="1"/>
  <c r="DP20" i="2" s="1"/>
  <c r="ED20" i="2" s="1"/>
  <c r="I20" i="2"/>
  <c r="CK23" i="2"/>
  <c r="AX19" i="2"/>
  <c r="AX23" i="2"/>
  <c r="I25" i="2"/>
  <c r="V25" i="2"/>
  <c r="AJ25" i="2" s="1"/>
  <c r="AX25" i="2" s="1"/>
  <c r="BL25" i="2" s="1"/>
  <c r="BZ25" i="2" s="1"/>
  <c r="CN25" i="2" s="1"/>
  <c r="DB25" i="2" s="1"/>
  <c r="DP25" i="2" s="1"/>
  <c r="ED25" i="2" s="1"/>
  <c r="J31" i="2"/>
  <c r="W31" i="2"/>
  <c r="AK31" i="2" s="1"/>
  <c r="AI15" i="2"/>
  <c r="J23" i="2"/>
  <c r="W23" i="2"/>
  <c r="AK23" i="2" s="1"/>
  <c r="AY23" i="2" s="1"/>
  <c r="BM23" i="2" s="1"/>
  <c r="CA23" i="2" s="1"/>
  <c r="CO23" i="2" s="1"/>
  <c r="DC23" i="2" s="1"/>
  <c r="DQ23" i="2" s="1"/>
  <c r="EE23" i="2" s="1"/>
  <c r="J22" i="2"/>
  <c r="W22" i="2"/>
  <c r="AK22" i="2" s="1"/>
  <c r="AY22" i="2" s="1"/>
  <c r="BM22" i="2" s="1"/>
  <c r="BK19" i="2"/>
  <c r="AW15" i="2"/>
  <c r="AV15" i="2"/>
  <c r="W21" i="2"/>
  <c r="AK21" i="2" s="1"/>
  <c r="AY21" i="2" s="1"/>
  <c r="BM21" i="2" s="1"/>
  <c r="CA21" i="2" s="1"/>
  <c r="CO21" i="2" s="1"/>
  <c r="DC21" i="2" s="1"/>
  <c r="DQ21" i="2" s="1"/>
  <c r="EE21" i="2" s="1"/>
  <c r="J21" i="2"/>
  <c r="CJ20" i="2"/>
  <c r="BV15" i="2"/>
  <c r="BX19" i="2"/>
  <c r="BJ15" i="2"/>
  <c r="CY32" i="2"/>
  <c r="BK30" i="2"/>
  <c r="BY32" i="2"/>
  <c r="BZ31" i="2"/>
  <c r="K32" i="2"/>
  <c r="X32" i="2"/>
  <c r="AL32" i="2" s="1"/>
  <c r="CL30" i="2"/>
  <c r="CZ31" i="2"/>
  <c r="BX26" i="2"/>
  <c r="CL27" i="2"/>
  <c r="CL28" i="2"/>
  <c r="DL29" i="2"/>
  <c r="CX26" i="2"/>
  <c r="AY29" i="2"/>
  <c r="X28" i="2"/>
  <c r="AL28" i="2" s="1"/>
  <c r="K28" i="2"/>
  <c r="BK26" i="2"/>
  <c r="BY28" i="2"/>
  <c r="K29" i="2"/>
  <c r="X29" i="2"/>
  <c r="AL29" i="2" s="1"/>
  <c r="AZ29" i="2" s="1"/>
  <c r="BN29" i="2" s="1"/>
  <c r="CB29" i="2" s="1"/>
  <c r="CP29" i="2" s="1"/>
  <c r="DD29" i="2" s="1"/>
  <c r="DR29" i="2" s="1"/>
  <c r="EF29" i="2" s="1"/>
  <c r="AK26" i="2"/>
  <c r="AY27" i="2"/>
  <c r="BY29" i="2"/>
  <c r="X27" i="2"/>
  <c r="AL27" i="2" s="1"/>
  <c r="K27" i="2"/>
  <c r="CK26" i="2"/>
  <c r="CY27" i="2"/>
  <c r="M17" i="2"/>
  <c r="AA17" i="2" s="1"/>
  <c r="AO17" i="2" s="1"/>
  <c r="Z17" i="2"/>
  <c r="AN17" i="2" s="1"/>
  <c r="BB17" i="2" s="1"/>
  <c r="BP17" i="2" s="1"/>
  <c r="ED22" i="2"/>
  <c r="CQ24" i="2"/>
  <c r="CF24" i="2"/>
  <c r="DN20" i="2"/>
  <c r="BN17" i="2"/>
  <c r="CA17" i="2"/>
  <c r="DO17" i="2"/>
  <c r="CM22" i="2"/>
  <c r="BO17" i="2"/>
  <c r="CN17" i="2"/>
  <c r="DK51" i="2"/>
  <c r="CW49" i="2"/>
  <c r="DK35" i="2"/>
  <c r="DY36" i="2"/>
  <c r="DY35" i="2" s="1"/>
  <c r="DY31" i="2"/>
  <c r="DY30" i="2" s="1"/>
  <c r="DK30" i="2"/>
  <c r="DK27" i="2"/>
  <c r="CW26" i="2"/>
  <c r="CW14" i="2" s="1"/>
  <c r="CV42" i="2"/>
  <c r="CV49" i="2"/>
  <c r="DJ9" i="2"/>
  <c r="DJ11" i="2" s="1"/>
  <c r="DJ57" i="2" s="1"/>
  <c r="CV35" i="2"/>
  <c r="AR59" i="2"/>
  <c r="CV26" i="2"/>
  <c r="CV15" i="2"/>
  <c r="BF58" i="2"/>
  <c r="CH14" i="2"/>
  <c r="CV52" i="2"/>
  <c r="BT54" i="2"/>
  <c r="CV30" i="2"/>
  <c r="AY42" i="2" l="1"/>
  <c r="CW41" i="2"/>
  <c r="CV41" i="2"/>
  <c r="AX26" i="2"/>
  <c r="BX7" i="2"/>
  <c r="BJ9" i="2"/>
  <c r="BJ11" i="2" s="1"/>
  <c r="BJ57" i="2" s="1"/>
  <c r="W7" i="2"/>
  <c r="AK7" i="2" s="1"/>
  <c r="CX7" i="2"/>
  <c r="CJ9" i="2"/>
  <c r="CJ11" i="2" s="1"/>
  <c r="CJ57" i="2" s="1"/>
  <c r="AX7" i="2"/>
  <c r="AJ9" i="2"/>
  <c r="AJ11" i="2" s="1"/>
  <c r="AJ57" i="2" s="1"/>
  <c r="CK7" i="2"/>
  <c r="BW9" i="2"/>
  <c r="BW11" i="2" s="1"/>
  <c r="BW57" i="2" s="1"/>
  <c r="AW9" i="2"/>
  <c r="AW11" i="2" s="1"/>
  <c r="AW57" i="2" s="1"/>
  <c r="BK7" i="2"/>
  <c r="L8" i="2"/>
  <c r="Y8" i="2"/>
  <c r="AM8" i="2" s="1"/>
  <c r="BA8" i="2" s="1"/>
  <c r="BO8" i="2" s="1"/>
  <c r="CC8" i="2" s="1"/>
  <c r="CQ8" i="2" s="1"/>
  <c r="DE8" i="2" s="1"/>
  <c r="DS8" i="2" s="1"/>
  <c r="EG8" i="2" s="1"/>
  <c r="BL42" i="2"/>
  <c r="AI14" i="2"/>
  <c r="AI54" i="2" s="1"/>
  <c r="AI58" i="2" s="1"/>
  <c r="AI59" i="2" s="1"/>
  <c r="BJ49" i="2"/>
  <c r="BJ41" i="2" s="1"/>
  <c r="BX50" i="2"/>
  <c r="AX50" i="2"/>
  <c r="AJ49" i="2"/>
  <c r="AJ41" i="2" s="1"/>
  <c r="W50" i="2"/>
  <c r="AK50" i="2" s="1"/>
  <c r="J50" i="2"/>
  <c r="BK50" i="2"/>
  <c r="AW49" i="2"/>
  <c r="AW41" i="2" s="1"/>
  <c r="CK50" i="2"/>
  <c r="BW49" i="2"/>
  <c r="BW41" i="2" s="1"/>
  <c r="CX50" i="2"/>
  <c r="CJ49" i="2"/>
  <c r="CJ41" i="2" s="1"/>
  <c r="AK42" i="2"/>
  <c r="K47" i="2"/>
  <c r="X47" i="2"/>
  <c r="AL47" i="2" s="1"/>
  <c r="AV14" i="2"/>
  <c r="AV54" i="2" s="1"/>
  <c r="AV58" i="2" s="1"/>
  <c r="AV59" i="2" s="1"/>
  <c r="BI14" i="2"/>
  <c r="BI54" i="2" s="1"/>
  <c r="BI58" i="2" s="1"/>
  <c r="BI59" i="2" s="1"/>
  <c r="CK36" i="2"/>
  <c r="BW35" i="2"/>
  <c r="BV14" i="2"/>
  <c r="BV54" i="2" s="1"/>
  <c r="BV58" i="2" s="1"/>
  <c r="BV59" i="2" s="1"/>
  <c r="CX36" i="2"/>
  <c r="CJ35" i="2"/>
  <c r="BK36" i="2"/>
  <c r="AW35" i="2"/>
  <c r="AW14" i="2" s="1"/>
  <c r="AX36" i="2"/>
  <c r="AJ35" i="2"/>
  <c r="J36" i="2"/>
  <c r="W36" i="2"/>
  <c r="AK36" i="2" s="1"/>
  <c r="BX36" i="2"/>
  <c r="BJ35" i="2"/>
  <c r="BJ14" i="2" s="1"/>
  <c r="AX16" i="2"/>
  <c r="J16" i="2"/>
  <c r="W16" i="2"/>
  <c r="AK16" i="2" s="1"/>
  <c r="AY16" i="2" s="1"/>
  <c r="BM16" i="2" s="1"/>
  <c r="CA16" i="2" s="1"/>
  <c r="CO16" i="2" s="1"/>
  <c r="DC16" i="2" s="1"/>
  <c r="DQ16" i="2" s="1"/>
  <c r="EE16" i="2" s="1"/>
  <c r="AM52" i="2"/>
  <c r="BA53" i="2"/>
  <c r="M53" i="2"/>
  <c r="AA53" i="2" s="1"/>
  <c r="AO53" i="2" s="1"/>
  <c r="Z53" i="2"/>
  <c r="AN53" i="2" s="1"/>
  <c r="DA53" i="2"/>
  <c r="CM52" i="2"/>
  <c r="BN53" i="2"/>
  <c r="AZ52" i="2"/>
  <c r="CA53" i="2"/>
  <c r="BM52" i="2"/>
  <c r="BZ52" i="2"/>
  <c r="CN53" i="2"/>
  <c r="CW54" i="2"/>
  <c r="CW58" i="2" s="1"/>
  <c r="CW59" i="2" s="1"/>
  <c r="BM51" i="2"/>
  <c r="CZ51" i="2"/>
  <c r="CM51" i="2"/>
  <c r="L51" i="2"/>
  <c r="Y51" i="2"/>
  <c r="AM51" i="2" s="1"/>
  <c r="AZ51" i="2"/>
  <c r="BZ51" i="2"/>
  <c r="CN45" i="2"/>
  <c r="AZ48" i="2"/>
  <c r="CZ44" i="2"/>
  <c r="CL42" i="2"/>
  <c r="M46" i="2"/>
  <c r="AA46" i="2" s="1"/>
  <c r="AO46" i="2" s="1"/>
  <c r="BC46" i="2" s="1"/>
  <c r="BQ46" i="2" s="1"/>
  <c r="CE46" i="2" s="1"/>
  <c r="CS46" i="2" s="1"/>
  <c r="DG46" i="2" s="1"/>
  <c r="DU46" i="2" s="1"/>
  <c r="EI46" i="2" s="1"/>
  <c r="Z46" i="2"/>
  <c r="AN46" i="2" s="1"/>
  <c r="BB46" i="2" s="1"/>
  <c r="L44" i="2"/>
  <c r="Y44" i="2"/>
  <c r="AM44" i="2" s="1"/>
  <c r="BA44" i="2" s="1"/>
  <c r="BO44" i="2" s="1"/>
  <c r="CC44" i="2" s="1"/>
  <c r="CQ44" i="2" s="1"/>
  <c r="DE44" i="2" s="1"/>
  <c r="DS44" i="2" s="1"/>
  <c r="EG44" i="2" s="1"/>
  <c r="L48" i="2"/>
  <c r="Y48" i="2"/>
  <c r="AM48" i="2" s="1"/>
  <c r="BA48" i="2" s="1"/>
  <c r="BO48" i="2" s="1"/>
  <c r="CC48" i="2" s="1"/>
  <c r="CQ48" i="2" s="1"/>
  <c r="DE48" i="2" s="1"/>
  <c r="DS48" i="2" s="1"/>
  <c r="EG48" i="2" s="1"/>
  <c r="DA46" i="2"/>
  <c r="Y45" i="2"/>
  <c r="AM45" i="2" s="1"/>
  <c r="BA45" i="2" s="1"/>
  <c r="BO45" i="2" s="1"/>
  <c r="CC45" i="2" s="1"/>
  <c r="CQ45" i="2" s="1"/>
  <c r="DE45" i="2" s="1"/>
  <c r="DS45" i="2" s="1"/>
  <c r="EG45" i="2" s="1"/>
  <c r="L45" i="2"/>
  <c r="BN43" i="2"/>
  <c r="DA43" i="2"/>
  <c r="CM42" i="2"/>
  <c r="CN43" i="2"/>
  <c r="CA46" i="2"/>
  <c r="CA43" i="2"/>
  <c r="BZ48" i="2"/>
  <c r="CA47" i="2"/>
  <c r="BA43" i="2"/>
  <c r="BZ44" i="2"/>
  <c r="CZ48" i="2"/>
  <c r="M43" i="2"/>
  <c r="AA43" i="2" s="1"/>
  <c r="AO43" i="2" s="1"/>
  <c r="Z43" i="2"/>
  <c r="AN43" i="2" s="1"/>
  <c r="DA47" i="2"/>
  <c r="BM45" i="2"/>
  <c r="Z39" i="2"/>
  <c r="AN39" i="2" s="1"/>
  <c r="BB39" i="2" s="1"/>
  <c r="BP39" i="2" s="1"/>
  <c r="CD39" i="2" s="1"/>
  <c r="CR39" i="2" s="1"/>
  <c r="DF39" i="2" s="1"/>
  <c r="DT39" i="2" s="1"/>
  <c r="EH39" i="2" s="1"/>
  <c r="M39" i="2"/>
  <c r="AA39" i="2" s="1"/>
  <c r="AO39" i="2" s="1"/>
  <c r="BC39" i="2" s="1"/>
  <c r="BQ39" i="2" s="1"/>
  <c r="CE39" i="2" s="1"/>
  <c r="CS39" i="2" s="1"/>
  <c r="DG39" i="2" s="1"/>
  <c r="DU39" i="2" s="1"/>
  <c r="EI39" i="2" s="1"/>
  <c r="BZ40" i="2"/>
  <c r="BZ38" i="2"/>
  <c r="CZ38" i="2"/>
  <c r="L40" i="2"/>
  <c r="Y40" i="2"/>
  <c r="AM40" i="2" s="1"/>
  <c r="CN39" i="2"/>
  <c r="CM37" i="2"/>
  <c r="Y38" i="2"/>
  <c r="AM38" i="2" s="1"/>
  <c r="BA38" i="2" s="1"/>
  <c r="L38" i="2"/>
  <c r="CZ40" i="2"/>
  <c r="BN37" i="2"/>
  <c r="L37" i="2"/>
  <c r="Y37" i="2"/>
  <c r="AM37" i="2" s="1"/>
  <c r="BN39" i="2"/>
  <c r="M34" i="2"/>
  <c r="AA34" i="2" s="1"/>
  <c r="AO34" i="2" s="1"/>
  <c r="BC34" i="2" s="1"/>
  <c r="BQ34" i="2" s="1"/>
  <c r="CE34" i="2" s="1"/>
  <c r="CS34" i="2" s="1"/>
  <c r="DG34" i="2" s="1"/>
  <c r="DU34" i="2" s="1"/>
  <c r="EI34" i="2" s="1"/>
  <c r="Z34" i="2"/>
  <c r="AN34" i="2" s="1"/>
  <c r="CN34" i="2"/>
  <c r="BL33" i="2"/>
  <c r="AX30" i="2"/>
  <c r="K33" i="2"/>
  <c r="X33" i="2"/>
  <c r="AL33" i="2" s="1"/>
  <c r="CY33" i="2"/>
  <c r="CY30" i="2" s="1"/>
  <c r="DY53" i="2"/>
  <c r="DY52" i="2" s="1"/>
  <c r="DK52" i="2"/>
  <c r="DZ53" i="2"/>
  <c r="DZ52" i="2" s="1"/>
  <c r="DL52" i="2"/>
  <c r="DZ44" i="2"/>
  <c r="DZ42" i="2" s="1"/>
  <c r="DL42" i="2"/>
  <c r="AJ15" i="2"/>
  <c r="EA44" i="2"/>
  <c r="EA42" i="2" s="1"/>
  <c r="DM42" i="2"/>
  <c r="ED8" i="2"/>
  <c r="EA53" i="2"/>
  <c r="EA52" i="2" s="1"/>
  <c r="DM52" i="2"/>
  <c r="J18" i="2"/>
  <c r="W18" i="2"/>
  <c r="AK18" i="2" s="1"/>
  <c r="AY18" i="2" s="1"/>
  <c r="BM18" i="2" s="1"/>
  <c r="CA18" i="2" s="1"/>
  <c r="CO18" i="2" s="1"/>
  <c r="DC18" i="2" s="1"/>
  <c r="DQ18" i="2" s="1"/>
  <c r="EE18" i="2" s="1"/>
  <c r="EC8" i="2"/>
  <c r="AY19" i="2"/>
  <c r="BL19" i="2"/>
  <c r="CY23" i="2"/>
  <c r="CL19" i="2"/>
  <c r="BX15" i="2"/>
  <c r="X22" i="2"/>
  <c r="AL22" i="2" s="1"/>
  <c r="AZ22" i="2" s="1"/>
  <c r="BN22" i="2" s="1"/>
  <c r="CB22" i="2" s="1"/>
  <c r="CP22" i="2" s="1"/>
  <c r="DD22" i="2" s="1"/>
  <c r="DR22" i="2" s="1"/>
  <c r="EF22" i="2" s="1"/>
  <c r="K22" i="2"/>
  <c r="J25" i="2"/>
  <c r="W25" i="2"/>
  <c r="AK25" i="2" s="1"/>
  <c r="AY25" i="2" s="1"/>
  <c r="BM25" i="2" s="1"/>
  <c r="CA25" i="2" s="1"/>
  <c r="CO25" i="2" s="1"/>
  <c r="DC25" i="2" s="1"/>
  <c r="DQ25" i="2" s="1"/>
  <c r="EE25" i="2" s="1"/>
  <c r="J20" i="2"/>
  <c r="W20" i="2"/>
  <c r="AK20" i="2" s="1"/>
  <c r="AY20" i="2" s="1"/>
  <c r="BY19" i="2"/>
  <c r="BK15" i="2"/>
  <c r="AY31" i="2"/>
  <c r="AK30" i="2"/>
  <c r="X31" i="2"/>
  <c r="AL31" i="2" s="1"/>
  <c r="K31" i="2"/>
  <c r="AP17" i="2"/>
  <c r="K23" i="2"/>
  <c r="X23" i="2"/>
  <c r="AL23" i="2" s="1"/>
  <c r="AZ23" i="2" s="1"/>
  <c r="BN23" i="2" s="1"/>
  <c r="CB23" i="2" s="1"/>
  <c r="CP23" i="2" s="1"/>
  <c r="DD23" i="2" s="1"/>
  <c r="DR23" i="2" s="1"/>
  <c r="EF23" i="2" s="1"/>
  <c r="K21" i="2"/>
  <c r="X21" i="2"/>
  <c r="AL21" i="2" s="1"/>
  <c r="AZ21" i="2" s="1"/>
  <c r="BN21" i="2" s="1"/>
  <c r="CB21" i="2" s="1"/>
  <c r="CP21" i="2" s="1"/>
  <c r="DD21" i="2" s="1"/>
  <c r="K19" i="2"/>
  <c r="X19" i="2"/>
  <c r="AL19" i="2" s="1"/>
  <c r="CX20" i="2"/>
  <c r="CJ15" i="2"/>
  <c r="BL23" i="2"/>
  <c r="CK20" i="2"/>
  <c r="BW15" i="2"/>
  <c r="AZ32" i="2"/>
  <c r="DN31" i="2"/>
  <c r="CZ30" i="2"/>
  <c r="DM32" i="2"/>
  <c r="L32" i="2"/>
  <c r="Y32" i="2"/>
  <c r="AM32" i="2" s="1"/>
  <c r="BA32" i="2" s="1"/>
  <c r="BO32" i="2" s="1"/>
  <c r="CC32" i="2" s="1"/>
  <c r="CQ32" i="2" s="1"/>
  <c r="DE32" i="2" s="1"/>
  <c r="DS32" i="2" s="1"/>
  <c r="EG32" i="2" s="1"/>
  <c r="CN31" i="2"/>
  <c r="BY30" i="2"/>
  <c r="CM32" i="2"/>
  <c r="BM27" i="2"/>
  <c r="AY26" i="2"/>
  <c r="L27" i="2"/>
  <c r="Y27" i="2"/>
  <c r="AM27" i="2" s="1"/>
  <c r="CZ28" i="2"/>
  <c r="AL26" i="2"/>
  <c r="AZ27" i="2"/>
  <c r="BM29" i="2"/>
  <c r="L29" i="2"/>
  <c r="Y29" i="2"/>
  <c r="AM29" i="2" s="1"/>
  <c r="Y28" i="2"/>
  <c r="AM28" i="2" s="1"/>
  <c r="BA28" i="2" s="1"/>
  <c r="BO28" i="2" s="1"/>
  <c r="CC28" i="2" s="1"/>
  <c r="CQ28" i="2" s="1"/>
  <c r="DE28" i="2" s="1"/>
  <c r="DS28" i="2" s="1"/>
  <c r="EG28" i="2" s="1"/>
  <c r="L28" i="2"/>
  <c r="AZ28" i="2"/>
  <c r="BL26" i="2"/>
  <c r="BZ27" i="2"/>
  <c r="BY26" i="2"/>
  <c r="CM28" i="2"/>
  <c r="DL26" i="2"/>
  <c r="DZ29" i="2"/>
  <c r="DM27" i="2"/>
  <c r="CY26" i="2"/>
  <c r="CL26" i="2"/>
  <c r="CZ27" i="2"/>
  <c r="CM29" i="2"/>
  <c r="DB18" i="2"/>
  <c r="DB17" i="2"/>
  <c r="DA22" i="2"/>
  <c r="EB20" i="2"/>
  <c r="CA22" i="2"/>
  <c r="CD17" i="2"/>
  <c r="EC17" i="2"/>
  <c r="CO17" i="2"/>
  <c r="BC17" i="2"/>
  <c r="CC17" i="2"/>
  <c r="CB17" i="2"/>
  <c r="DE24" i="2"/>
  <c r="CT24" i="2"/>
  <c r="DY51" i="2"/>
  <c r="DY49" i="2" s="1"/>
  <c r="DY41" i="2" s="1"/>
  <c r="DK49" i="2"/>
  <c r="DY27" i="2"/>
  <c r="DY26" i="2" s="1"/>
  <c r="DY14" i="2" s="1"/>
  <c r="DK26" i="2"/>
  <c r="DK14" i="2" s="1"/>
  <c r="DJ15" i="2"/>
  <c r="CH54" i="2"/>
  <c r="DJ42" i="2"/>
  <c r="BF59" i="2"/>
  <c r="CV14" i="2"/>
  <c r="DJ49" i="2"/>
  <c r="DX9" i="2"/>
  <c r="DX11" i="2" s="1"/>
  <c r="DX57" i="2" s="1"/>
  <c r="DJ52" i="2"/>
  <c r="DJ30" i="2"/>
  <c r="BT58" i="2"/>
  <c r="DJ26" i="2"/>
  <c r="DJ35" i="2"/>
  <c r="DK41" i="2" l="1"/>
  <c r="DK54" i="2" s="1"/>
  <c r="DK58" i="2" s="1"/>
  <c r="DK59" i="2" s="1"/>
  <c r="DJ41" i="2"/>
  <c r="AJ14" i="2"/>
  <c r="AJ54" i="2" s="1"/>
  <c r="AJ58" i="2" s="1"/>
  <c r="AJ59" i="2" s="1"/>
  <c r="AW54" i="2"/>
  <c r="AW58" i="2" s="1"/>
  <c r="AW59" i="2" s="1"/>
  <c r="CX9" i="2"/>
  <c r="CX11" i="2" s="1"/>
  <c r="CX57" i="2" s="1"/>
  <c r="DL7" i="2"/>
  <c r="BY7" i="2"/>
  <c r="BK9" i="2"/>
  <c r="BK11" i="2" s="1"/>
  <c r="BK57" i="2" s="1"/>
  <c r="X7" i="2"/>
  <c r="AL7" i="2" s="1"/>
  <c r="AY7" i="2"/>
  <c r="AK9" i="2"/>
  <c r="AK11" i="2" s="1"/>
  <c r="AK57" i="2" s="1"/>
  <c r="BL7" i="2"/>
  <c r="AX9" i="2"/>
  <c r="AX11" i="2" s="1"/>
  <c r="AX57" i="2" s="1"/>
  <c r="CY7" i="2"/>
  <c r="CK9" i="2"/>
  <c r="CK11" i="2" s="1"/>
  <c r="CK57" i="2" s="1"/>
  <c r="BX9" i="2"/>
  <c r="BX11" i="2" s="1"/>
  <c r="BX57" i="2" s="1"/>
  <c r="CL7" i="2"/>
  <c r="M8" i="2"/>
  <c r="AA8" i="2" s="1"/>
  <c r="AO8" i="2" s="1"/>
  <c r="BC8" i="2" s="1"/>
  <c r="BQ8" i="2" s="1"/>
  <c r="CE8" i="2" s="1"/>
  <c r="CS8" i="2" s="1"/>
  <c r="DG8" i="2" s="1"/>
  <c r="DU8" i="2" s="1"/>
  <c r="EI8" i="2" s="1"/>
  <c r="Z8" i="2"/>
  <c r="AN8" i="2" s="1"/>
  <c r="BB8" i="2" s="1"/>
  <c r="BP8" i="2" s="1"/>
  <c r="CD8" i="2" s="1"/>
  <c r="CR8" i="2" s="1"/>
  <c r="DF8" i="2" s="1"/>
  <c r="DT8" i="2" s="1"/>
  <c r="EH8" i="2" s="1"/>
  <c r="BW14" i="2"/>
  <c r="BW54" i="2" s="1"/>
  <c r="BW58" i="2" s="1"/>
  <c r="BW59" i="2" s="1"/>
  <c r="AP39" i="2"/>
  <c r="AP53" i="2"/>
  <c r="BD39" i="2"/>
  <c r="BJ54" i="2"/>
  <c r="BJ58" i="2" s="1"/>
  <c r="BJ59" i="2" s="1"/>
  <c r="DY54" i="2"/>
  <c r="DY58" i="2" s="1"/>
  <c r="DY59" i="2" s="1"/>
  <c r="BY50" i="2"/>
  <c r="BK49" i="2"/>
  <c r="BK41" i="2" s="1"/>
  <c r="X50" i="2"/>
  <c r="AL50" i="2" s="1"/>
  <c r="K50" i="2"/>
  <c r="DL50" i="2"/>
  <c r="CX49" i="2"/>
  <c r="CX41" i="2" s="1"/>
  <c r="BL50" i="2"/>
  <c r="AX49" i="2"/>
  <c r="AX41" i="2" s="1"/>
  <c r="AY50" i="2"/>
  <c r="AK49" i="2"/>
  <c r="AK41" i="2" s="1"/>
  <c r="BX49" i="2"/>
  <c r="BX41" i="2" s="1"/>
  <c r="CL50" i="2"/>
  <c r="CY50" i="2"/>
  <c r="CK49" i="2"/>
  <c r="CK41" i="2" s="1"/>
  <c r="AZ47" i="2"/>
  <c r="BN47" i="2" s="1"/>
  <c r="CB47" i="2" s="1"/>
  <c r="CP47" i="2" s="1"/>
  <c r="DD47" i="2" s="1"/>
  <c r="DR47" i="2" s="1"/>
  <c r="EF47" i="2" s="1"/>
  <c r="AL42" i="2"/>
  <c r="L47" i="2"/>
  <c r="Y47" i="2"/>
  <c r="AM47" i="2" s="1"/>
  <c r="BA47" i="2" s="1"/>
  <c r="BA42" i="2" s="1"/>
  <c r="BX35" i="2"/>
  <c r="BX14" i="2" s="1"/>
  <c r="CL36" i="2"/>
  <c r="BK35" i="2"/>
  <c r="BK14" i="2" s="1"/>
  <c r="BY36" i="2"/>
  <c r="AY36" i="2"/>
  <c r="AK35" i="2"/>
  <c r="X36" i="2"/>
  <c r="AL36" i="2" s="1"/>
  <c r="K36" i="2"/>
  <c r="DL36" i="2"/>
  <c r="CX35" i="2"/>
  <c r="CJ14" i="2"/>
  <c r="CJ54" i="2" s="1"/>
  <c r="CJ58" i="2" s="1"/>
  <c r="CJ59" i="2" s="1"/>
  <c r="CK35" i="2"/>
  <c r="CY36" i="2"/>
  <c r="BL36" i="2"/>
  <c r="AX35" i="2"/>
  <c r="BL16" i="2"/>
  <c r="AX15" i="2"/>
  <c r="K16" i="2"/>
  <c r="X16" i="2"/>
  <c r="AL16" i="2" s="1"/>
  <c r="CN52" i="2"/>
  <c r="DB53" i="2"/>
  <c r="BO53" i="2"/>
  <c r="BA52" i="2"/>
  <c r="DO53" i="2"/>
  <c r="DA52" i="2"/>
  <c r="CO53" i="2"/>
  <c r="CA52" i="2"/>
  <c r="AN52" i="2"/>
  <c r="BB53" i="2"/>
  <c r="BC53" i="2"/>
  <c r="AO52" i="2"/>
  <c r="BN52" i="2"/>
  <c r="CB53" i="2"/>
  <c r="DA51" i="2"/>
  <c r="CN51" i="2"/>
  <c r="BN51" i="2"/>
  <c r="DN51" i="2"/>
  <c r="M51" i="2"/>
  <c r="AA51" i="2" s="1"/>
  <c r="AO51" i="2" s="1"/>
  <c r="Z51" i="2"/>
  <c r="AN51" i="2" s="1"/>
  <c r="BA51" i="2"/>
  <c r="CA51" i="2"/>
  <c r="CA45" i="2"/>
  <c r="CA42" i="2" s="1"/>
  <c r="CN44" i="2"/>
  <c r="BM42" i="2"/>
  <c r="CN48" i="2"/>
  <c r="Z45" i="2"/>
  <c r="AN45" i="2" s="1"/>
  <c r="BB45" i="2" s="1"/>
  <c r="M45" i="2"/>
  <c r="AA45" i="2" s="1"/>
  <c r="AO45" i="2" s="1"/>
  <c r="BP46" i="2"/>
  <c r="BD46" i="2"/>
  <c r="CO43" i="2"/>
  <c r="DO43" i="2"/>
  <c r="DA42" i="2"/>
  <c r="DO47" i="2"/>
  <c r="BO43" i="2"/>
  <c r="DB43" i="2"/>
  <c r="AP46" i="2"/>
  <c r="BB43" i="2"/>
  <c r="CB43" i="2"/>
  <c r="DN44" i="2"/>
  <c r="CZ42" i="2"/>
  <c r="BC43" i="2"/>
  <c r="AP43" i="2"/>
  <c r="CO46" i="2"/>
  <c r="DO46" i="2"/>
  <c r="DB45" i="2"/>
  <c r="Z44" i="2"/>
  <c r="AN44" i="2" s="1"/>
  <c r="BB44" i="2" s="1"/>
  <c r="BP44" i="2" s="1"/>
  <c r="CD44" i="2" s="1"/>
  <c r="CR44" i="2" s="1"/>
  <c r="DF44" i="2" s="1"/>
  <c r="DT44" i="2" s="1"/>
  <c r="EH44" i="2" s="1"/>
  <c r="M44" i="2"/>
  <c r="AA44" i="2" s="1"/>
  <c r="AO44" i="2" s="1"/>
  <c r="BC44" i="2" s="1"/>
  <c r="BQ44" i="2" s="1"/>
  <c r="CE44" i="2" s="1"/>
  <c r="CS44" i="2" s="1"/>
  <c r="DG44" i="2" s="1"/>
  <c r="DU44" i="2" s="1"/>
  <c r="EI44" i="2" s="1"/>
  <c r="BN48" i="2"/>
  <c r="CO47" i="2"/>
  <c r="DN48" i="2"/>
  <c r="BZ42" i="2"/>
  <c r="M48" i="2"/>
  <c r="AA48" i="2" s="1"/>
  <c r="AO48" i="2" s="1"/>
  <c r="BC48" i="2" s="1"/>
  <c r="BQ48" i="2" s="1"/>
  <c r="CE48" i="2" s="1"/>
  <c r="CS48" i="2" s="1"/>
  <c r="DG48" i="2" s="1"/>
  <c r="DU48" i="2" s="1"/>
  <c r="EI48" i="2" s="1"/>
  <c r="Z48" i="2"/>
  <c r="AN48" i="2" s="1"/>
  <c r="BB48" i="2" s="1"/>
  <c r="BP48" i="2" s="1"/>
  <c r="CD48" i="2" s="1"/>
  <c r="CR48" i="2" s="1"/>
  <c r="DF48" i="2" s="1"/>
  <c r="DT48" i="2" s="1"/>
  <c r="EH48" i="2" s="1"/>
  <c r="DA37" i="2"/>
  <c r="CN40" i="2"/>
  <c r="DN40" i="2"/>
  <c r="Z38" i="2"/>
  <c r="AN38" i="2" s="1"/>
  <c r="M38" i="2"/>
  <c r="AA38" i="2" s="1"/>
  <c r="AO38" i="2" s="1"/>
  <c r="BC38" i="2" s="1"/>
  <c r="BQ38" i="2" s="1"/>
  <c r="CE38" i="2" s="1"/>
  <c r="CS38" i="2" s="1"/>
  <c r="DG38" i="2" s="1"/>
  <c r="DU38" i="2" s="1"/>
  <c r="EI38" i="2" s="1"/>
  <c r="DB39" i="2"/>
  <c r="BO38" i="2"/>
  <c r="BA40" i="2"/>
  <c r="CB39" i="2"/>
  <c r="BR39" i="2"/>
  <c r="CB37" i="2"/>
  <c r="M40" i="2"/>
  <c r="AA40" i="2" s="1"/>
  <c r="AO40" i="2" s="1"/>
  <c r="BC40" i="2" s="1"/>
  <c r="BQ40" i="2" s="1"/>
  <c r="CE40" i="2" s="1"/>
  <c r="CS40" i="2" s="1"/>
  <c r="DG40" i="2" s="1"/>
  <c r="DU40" i="2" s="1"/>
  <c r="EI40" i="2" s="1"/>
  <c r="Z40" i="2"/>
  <c r="AN40" i="2" s="1"/>
  <c r="BB40" i="2" s="1"/>
  <c r="BP40" i="2" s="1"/>
  <c r="CD40" i="2" s="1"/>
  <c r="CR40" i="2" s="1"/>
  <c r="DF40" i="2" s="1"/>
  <c r="DT40" i="2" s="1"/>
  <c r="EH40" i="2" s="1"/>
  <c r="CN38" i="2"/>
  <c r="BA37" i="2"/>
  <c r="M37" i="2"/>
  <c r="AA37" i="2" s="1"/>
  <c r="AO37" i="2" s="1"/>
  <c r="BC37" i="2" s="1"/>
  <c r="BQ37" i="2" s="1"/>
  <c r="CE37" i="2" s="1"/>
  <c r="CS37" i="2" s="1"/>
  <c r="DG37" i="2" s="1"/>
  <c r="DU37" i="2" s="1"/>
  <c r="EI37" i="2" s="1"/>
  <c r="Z37" i="2"/>
  <c r="AN37" i="2" s="1"/>
  <c r="BB37" i="2" s="1"/>
  <c r="BP37" i="2" s="1"/>
  <c r="CD37" i="2" s="1"/>
  <c r="CR37" i="2" s="1"/>
  <c r="DF37" i="2" s="1"/>
  <c r="DT37" i="2" s="1"/>
  <c r="EH37" i="2" s="1"/>
  <c r="DN38" i="2"/>
  <c r="BB34" i="2"/>
  <c r="AP34" i="2"/>
  <c r="DB34" i="2"/>
  <c r="DM33" i="2"/>
  <c r="DM30" i="2" s="1"/>
  <c r="AZ33" i="2"/>
  <c r="L33" i="2"/>
  <c r="Y33" i="2"/>
  <c r="AM33" i="2" s="1"/>
  <c r="BA33" i="2" s="1"/>
  <c r="BO33" i="2" s="1"/>
  <c r="CC33" i="2" s="1"/>
  <c r="CQ33" i="2" s="1"/>
  <c r="DE33" i="2" s="1"/>
  <c r="DS33" i="2" s="1"/>
  <c r="EG33" i="2" s="1"/>
  <c r="BZ33" i="2"/>
  <c r="BL30" i="2"/>
  <c r="K18" i="2"/>
  <c r="X18" i="2"/>
  <c r="AL18" i="2" s="1"/>
  <c r="Y31" i="2"/>
  <c r="AM31" i="2" s="1"/>
  <c r="BA31" i="2" s="1"/>
  <c r="BO31" i="2" s="1"/>
  <c r="L31" i="2"/>
  <c r="L21" i="2"/>
  <c r="Y21" i="2"/>
  <c r="AM21" i="2" s="1"/>
  <c r="BA21" i="2" s="1"/>
  <c r="BO21" i="2" s="1"/>
  <c r="CC21" i="2" s="1"/>
  <c r="CQ21" i="2" s="1"/>
  <c r="DE21" i="2" s="1"/>
  <c r="DS21" i="2" s="1"/>
  <c r="EG21" i="2" s="1"/>
  <c r="AL30" i="2"/>
  <c r="AZ31" i="2"/>
  <c r="BN31" i="2" s="1"/>
  <c r="CB31" i="2" s="1"/>
  <c r="CP31" i="2" s="1"/>
  <c r="K20" i="2"/>
  <c r="X20" i="2"/>
  <c r="AL20" i="2" s="1"/>
  <c r="AZ20" i="2" s="1"/>
  <c r="BN20" i="2" s="1"/>
  <c r="CB20" i="2" s="1"/>
  <c r="CP20" i="2" s="1"/>
  <c r="DD20" i="2" s="1"/>
  <c r="DR20" i="2" s="1"/>
  <c r="EF20" i="2" s="1"/>
  <c r="DL20" i="2"/>
  <c r="CX15" i="2"/>
  <c r="DM23" i="2"/>
  <c r="K25" i="2"/>
  <c r="X25" i="2"/>
  <c r="AL25" i="2" s="1"/>
  <c r="CZ19" i="2"/>
  <c r="CL15" i="2"/>
  <c r="BM31" i="2"/>
  <c r="AY30" i="2"/>
  <c r="CY20" i="2"/>
  <c r="CK15" i="2"/>
  <c r="BZ19" i="2"/>
  <c r="BM20" i="2"/>
  <c r="L23" i="2"/>
  <c r="Y23" i="2"/>
  <c r="AM23" i="2" s="1"/>
  <c r="L22" i="2"/>
  <c r="Y22" i="2"/>
  <c r="AM22" i="2" s="1"/>
  <c r="AZ19" i="2"/>
  <c r="AK15" i="2"/>
  <c r="BZ23" i="2"/>
  <c r="Y19" i="2"/>
  <c r="AM19" i="2" s="1"/>
  <c r="L19" i="2"/>
  <c r="CM19" i="2"/>
  <c r="BY15" i="2"/>
  <c r="BM19" i="2"/>
  <c r="AY15" i="2"/>
  <c r="BN32" i="2"/>
  <c r="M32" i="2"/>
  <c r="AA32" i="2" s="1"/>
  <c r="AO32" i="2" s="1"/>
  <c r="Z32" i="2"/>
  <c r="AN32" i="2" s="1"/>
  <c r="BB32" i="2" s="1"/>
  <c r="BP32" i="2" s="1"/>
  <c r="CD32" i="2" s="1"/>
  <c r="CR32" i="2" s="1"/>
  <c r="DF32" i="2" s="1"/>
  <c r="DT32" i="2" s="1"/>
  <c r="EH32" i="2" s="1"/>
  <c r="CM30" i="2"/>
  <c r="DA32" i="2"/>
  <c r="EA32" i="2"/>
  <c r="DB31" i="2"/>
  <c r="DN30" i="2"/>
  <c r="EB31" i="2"/>
  <c r="AM26" i="2"/>
  <c r="BA29" i="2"/>
  <c r="CN27" i="2"/>
  <c r="BZ26" i="2"/>
  <c r="M29" i="2"/>
  <c r="AA29" i="2" s="1"/>
  <c r="AO29" i="2" s="1"/>
  <c r="BC29" i="2" s="1"/>
  <c r="BQ29" i="2" s="1"/>
  <c r="CE29" i="2" s="1"/>
  <c r="CS29" i="2" s="1"/>
  <c r="DG29" i="2" s="1"/>
  <c r="DU29" i="2" s="1"/>
  <c r="EI29" i="2" s="1"/>
  <c r="Z29" i="2"/>
  <c r="AN29" i="2" s="1"/>
  <c r="BB29" i="2" s="1"/>
  <c r="M27" i="2"/>
  <c r="AA27" i="2" s="1"/>
  <c r="AO27" i="2" s="1"/>
  <c r="Z27" i="2"/>
  <c r="AN27" i="2" s="1"/>
  <c r="DZ26" i="2"/>
  <c r="EA27" i="2"/>
  <c r="EA26" i="2" s="1"/>
  <c r="DM26" i="2"/>
  <c r="CA29" i="2"/>
  <c r="CM26" i="2"/>
  <c r="DA28" i="2"/>
  <c r="BN28" i="2"/>
  <c r="AZ26" i="2"/>
  <c r="BN27" i="2"/>
  <c r="DN27" i="2"/>
  <c r="EB27" i="2" s="1"/>
  <c r="CZ26" i="2"/>
  <c r="DA29" i="2"/>
  <c r="Z28" i="2"/>
  <c r="AN28" i="2" s="1"/>
  <c r="M28" i="2"/>
  <c r="AA28" i="2" s="1"/>
  <c r="AO28" i="2" s="1"/>
  <c r="BC28" i="2" s="1"/>
  <c r="BQ28" i="2" s="1"/>
  <c r="CE28" i="2" s="1"/>
  <c r="CS28" i="2" s="1"/>
  <c r="DG28" i="2" s="1"/>
  <c r="DU28" i="2" s="1"/>
  <c r="EI28" i="2" s="1"/>
  <c r="BA27" i="2"/>
  <c r="DN28" i="2"/>
  <c r="CA27" i="2"/>
  <c r="BM26" i="2"/>
  <c r="CP17" i="2"/>
  <c r="CQ17" i="2"/>
  <c r="DP17" i="2"/>
  <c r="DR21" i="2"/>
  <c r="DC17" i="2"/>
  <c r="CO22" i="2"/>
  <c r="DS24" i="2"/>
  <c r="DH24" i="2"/>
  <c r="BQ17" i="2"/>
  <c r="BD17" i="2"/>
  <c r="DP18" i="2"/>
  <c r="CR17" i="2"/>
  <c r="DF17" i="2" s="1"/>
  <c r="DT17" i="2" s="1"/>
  <c r="EH17" i="2" s="1"/>
  <c r="DO22" i="2"/>
  <c r="CV54" i="2"/>
  <c r="DX42" i="2"/>
  <c r="DX26" i="2"/>
  <c r="DX30" i="2"/>
  <c r="DJ14" i="2"/>
  <c r="BT59" i="2"/>
  <c r="DX52" i="2"/>
  <c r="DX15" i="2"/>
  <c r="DX35" i="2"/>
  <c r="CH58" i="2"/>
  <c r="DX49" i="2"/>
  <c r="DX41" i="2" l="1"/>
  <c r="AZ7" i="2"/>
  <c r="AL9" i="2"/>
  <c r="AL11" i="2" s="1"/>
  <c r="AL57" i="2" s="1"/>
  <c r="CZ7" i="2"/>
  <c r="CL9" i="2"/>
  <c r="CL11" i="2" s="1"/>
  <c r="CL57" i="2" s="1"/>
  <c r="DM7" i="2"/>
  <c r="CY9" i="2"/>
  <c r="CY11" i="2" s="1"/>
  <c r="CY57" i="2" s="1"/>
  <c r="CM7" i="2"/>
  <c r="BY9" i="2"/>
  <c r="BY11" i="2" s="1"/>
  <c r="BY57" i="2" s="1"/>
  <c r="BM7" i="2"/>
  <c r="AY9" i="2"/>
  <c r="AY11" i="2" s="1"/>
  <c r="AY57" i="2" s="1"/>
  <c r="Y7" i="2"/>
  <c r="AM7" i="2" s="1"/>
  <c r="DZ7" i="2"/>
  <c r="DZ9" i="2" s="1"/>
  <c r="DZ11" i="2" s="1"/>
  <c r="DZ57" i="2" s="1"/>
  <c r="DL9" i="2"/>
  <c r="DL11" i="2" s="1"/>
  <c r="DL57" i="2" s="1"/>
  <c r="BZ7" i="2"/>
  <c r="BL9" i="2"/>
  <c r="BL11" i="2" s="1"/>
  <c r="BL57" i="2" s="1"/>
  <c r="BN42" i="2"/>
  <c r="BD53" i="2"/>
  <c r="BD43" i="2"/>
  <c r="CX14" i="2"/>
  <c r="CX54" i="2" s="1"/>
  <c r="CX58" i="2" s="1"/>
  <c r="CX59" i="2" s="1"/>
  <c r="AM30" i="2"/>
  <c r="BK54" i="2"/>
  <c r="BK58" i="2" s="1"/>
  <c r="BK59" i="2" s="1"/>
  <c r="BX54" i="2"/>
  <c r="BX58" i="2" s="1"/>
  <c r="BX59" i="2" s="1"/>
  <c r="BZ50" i="2"/>
  <c r="BL49" i="2"/>
  <c r="BL41" i="2" s="1"/>
  <c r="CY49" i="2"/>
  <c r="CY41" i="2" s="1"/>
  <c r="DM50" i="2"/>
  <c r="AZ50" i="2"/>
  <c r="AL49" i="2"/>
  <c r="AL41" i="2" s="1"/>
  <c r="CZ50" i="2"/>
  <c r="CL49" i="2"/>
  <c r="CL41" i="2" s="1"/>
  <c r="DZ50" i="2"/>
  <c r="DZ49" i="2" s="1"/>
  <c r="DZ41" i="2" s="1"/>
  <c r="DL49" i="2"/>
  <c r="DL41" i="2" s="1"/>
  <c r="BM50" i="2"/>
  <c r="AY49" i="2"/>
  <c r="AY41" i="2" s="1"/>
  <c r="Y50" i="2"/>
  <c r="AM50" i="2" s="1"/>
  <c r="L50" i="2"/>
  <c r="CM50" i="2"/>
  <c r="BY49" i="2"/>
  <c r="BY41" i="2" s="1"/>
  <c r="BO47" i="2"/>
  <c r="BO42" i="2" s="1"/>
  <c r="M47" i="2"/>
  <c r="AA47" i="2" s="1"/>
  <c r="AO47" i="2" s="1"/>
  <c r="BC47" i="2" s="1"/>
  <c r="BQ47" i="2" s="1"/>
  <c r="CE47" i="2" s="1"/>
  <c r="CS47" i="2" s="1"/>
  <c r="DG47" i="2" s="1"/>
  <c r="DU47" i="2" s="1"/>
  <c r="EI47" i="2" s="1"/>
  <c r="Z47" i="2"/>
  <c r="AN47" i="2" s="1"/>
  <c r="BB47" i="2" s="1"/>
  <c r="BP47" i="2" s="1"/>
  <c r="CD47" i="2" s="1"/>
  <c r="CR47" i="2" s="1"/>
  <c r="DF47" i="2" s="1"/>
  <c r="DT47" i="2" s="1"/>
  <c r="EH47" i="2" s="1"/>
  <c r="AM42" i="2"/>
  <c r="AZ42" i="2"/>
  <c r="CK14" i="2"/>
  <c r="CK54" i="2" s="1"/>
  <c r="CK58" i="2" s="1"/>
  <c r="CK59" i="2" s="1"/>
  <c r="AX14" i="2"/>
  <c r="AX54" i="2" s="1"/>
  <c r="AX58" i="2" s="1"/>
  <c r="AX59" i="2" s="1"/>
  <c r="CY35" i="2"/>
  <c r="DM36" i="2"/>
  <c r="BZ36" i="2"/>
  <c r="BL35" i="2"/>
  <c r="L36" i="2"/>
  <c r="Y36" i="2"/>
  <c r="AM36" i="2" s="1"/>
  <c r="AL35" i="2"/>
  <c r="AZ36" i="2"/>
  <c r="AK14" i="2"/>
  <c r="AK54" i="2" s="1"/>
  <c r="AK58" i="2" s="1"/>
  <c r="AK59" i="2" s="1"/>
  <c r="CM36" i="2"/>
  <c r="BY35" i="2"/>
  <c r="BY14" i="2" s="1"/>
  <c r="DZ36" i="2"/>
  <c r="DZ35" i="2" s="1"/>
  <c r="DL35" i="2"/>
  <c r="CZ36" i="2"/>
  <c r="CL35" i="2"/>
  <c r="CL14" i="2" s="1"/>
  <c r="BM36" i="2"/>
  <c r="AY35" i="2"/>
  <c r="AY14" i="2" s="1"/>
  <c r="BZ16" i="2"/>
  <c r="BZ15" i="2" s="1"/>
  <c r="BL15" i="2"/>
  <c r="AZ16" i="2"/>
  <c r="Y16" i="2"/>
  <c r="AM16" i="2" s="1"/>
  <c r="BA16" i="2" s="1"/>
  <c r="BO16" i="2" s="1"/>
  <c r="CC16" i="2" s="1"/>
  <c r="CQ16" i="2" s="1"/>
  <c r="DE16" i="2" s="1"/>
  <c r="DS16" i="2" s="1"/>
  <c r="EG16" i="2" s="1"/>
  <c r="L16" i="2"/>
  <c r="BO52" i="2"/>
  <c r="CC53" i="2"/>
  <c r="DB52" i="2"/>
  <c r="DP53" i="2"/>
  <c r="BP53" i="2"/>
  <c r="BB52" i="2"/>
  <c r="CB52" i="2"/>
  <c r="CP53" i="2"/>
  <c r="AP52" i="2"/>
  <c r="E12" i="3" s="1"/>
  <c r="EC53" i="2"/>
  <c r="DO52" i="2"/>
  <c r="DC53" i="2"/>
  <c r="CO52" i="2"/>
  <c r="BQ53" i="2"/>
  <c r="BC52" i="2"/>
  <c r="DO51" i="2"/>
  <c r="BO51" i="2"/>
  <c r="CB51" i="2"/>
  <c r="BB51" i="2"/>
  <c r="BC51" i="2"/>
  <c r="DB51" i="2"/>
  <c r="EB51" i="2"/>
  <c r="CO51" i="2"/>
  <c r="AP51" i="2"/>
  <c r="DC46" i="2"/>
  <c r="CD46" i="2"/>
  <c r="BR46" i="2"/>
  <c r="EC43" i="2"/>
  <c r="DO42" i="2"/>
  <c r="BC45" i="2"/>
  <c r="BQ45" i="2" s="1"/>
  <c r="CE45" i="2" s="1"/>
  <c r="CS45" i="2" s="1"/>
  <c r="DG45" i="2" s="1"/>
  <c r="DU45" i="2" s="1"/>
  <c r="EI45" i="2" s="1"/>
  <c r="AP45" i="2"/>
  <c r="DB44" i="2"/>
  <c r="CT44" i="2"/>
  <c r="EB48" i="2"/>
  <c r="CN42" i="2"/>
  <c r="CC43" i="2"/>
  <c r="BP45" i="2"/>
  <c r="DP45" i="2"/>
  <c r="CP43" i="2"/>
  <c r="DP43" i="2"/>
  <c r="CO45" i="2"/>
  <c r="CO42" i="2" s="1"/>
  <c r="DC47" i="2"/>
  <c r="AP48" i="2"/>
  <c r="EC47" i="2"/>
  <c r="DC43" i="2"/>
  <c r="DB48" i="2"/>
  <c r="BD48" i="2"/>
  <c r="BR44" i="2"/>
  <c r="CF44" i="2"/>
  <c r="CB48" i="2"/>
  <c r="BR48" i="2"/>
  <c r="EC46" i="2"/>
  <c r="EB44" i="2"/>
  <c r="DN42" i="2"/>
  <c r="BP43" i="2"/>
  <c r="AP44" i="2"/>
  <c r="BQ43" i="2"/>
  <c r="BD44" i="2"/>
  <c r="AP40" i="2"/>
  <c r="DB40" i="2"/>
  <c r="EB38" i="2"/>
  <c r="BO40" i="2"/>
  <c r="BD40" i="2"/>
  <c r="BB38" i="2"/>
  <c r="AP38" i="2"/>
  <c r="CP37" i="2"/>
  <c r="AP37" i="2"/>
  <c r="CC38" i="2"/>
  <c r="BO37" i="2"/>
  <c r="BD37" i="2"/>
  <c r="CP39" i="2"/>
  <c r="CF39" i="2"/>
  <c r="EB40" i="2"/>
  <c r="DO37" i="2"/>
  <c r="DP39" i="2"/>
  <c r="DB38" i="2"/>
  <c r="DP34" i="2"/>
  <c r="BP34" i="2"/>
  <c r="BD34" i="2"/>
  <c r="CN33" i="2"/>
  <c r="BZ30" i="2"/>
  <c r="BA30" i="2"/>
  <c r="BN33" i="2"/>
  <c r="M33" i="2"/>
  <c r="AA33" i="2" s="1"/>
  <c r="AO33" i="2" s="1"/>
  <c r="BC33" i="2" s="1"/>
  <c r="BQ33" i="2" s="1"/>
  <c r="CE33" i="2" s="1"/>
  <c r="CS33" i="2" s="1"/>
  <c r="DG33" i="2" s="1"/>
  <c r="DU33" i="2" s="1"/>
  <c r="EI33" i="2" s="1"/>
  <c r="Z33" i="2"/>
  <c r="AN33" i="2" s="1"/>
  <c r="BB33" i="2" s="1"/>
  <c r="BP33" i="2" s="1"/>
  <c r="CD33" i="2" s="1"/>
  <c r="CR33" i="2" s="1"/>
  <c r="DF33" i="2" s="1"/>
  <c r="DT33" i="2" s="1"/>
  <c r="EH33" i="2" s="1"/>
  <c r="EA33" i="2"/>
  <c r="EA30" i="2" s="1"/>
  <c r="AZ18" i="2"/>
  <c r="BN18" i="2" s="1"/>
  <c r="CB18" i="2" s="1"/>
  <c r="CP18" i="2" s="1"/>
  <c r="DD18" i="2" s="1"/>
  <c r="DR18" i="2" s="1"/>
  <c r="EF18" i="2" s="1"/>
  <c r="L18" i="2"/>
  <c r="Y18" i="2"/>
  <c r="AM18" i="2" s="1"/>
  <c r="BA18" i="2" s="1"/>
  <c r="BO18" i="2" s="1"/>
  <c r="CC18" i="2" s="1"/>
  <c r="CQ18" i="2" s="1"/>
  <c r="AZ30" i="2"/>
  <c r="BN19" i="2"/>
  <c r="CA20" i="2"/>
  <c r="CA31" i="2"/>
  <c r="BM30" i="2"/>
  <c r="CN23" i="2"/>
  <c r="EA23" i="2"/>
  <c r="BA22" i="2"/>
  <c r="L20" i="2"/>
  <c r="Y20" i="2"/>
  <c r="AM20" i="2" s="1"/>
  <c r="BA20" i="2" s="1"/>
  <c r="BO20" i="2" s="1"/>
  <c r="CC20" i="2" s="1"/>
  <c r="CQ20" i="2" s="1"/>
  <c r="DE20" i="2" s="1"/>
  <c r="DS20" i="2" s="1"/>
  <c r="EG20" i="2" s="1"/>
  <c r="CN19" i="2"/>
  <c r="Z22" i="2"/>
  <c r="AN22" i="2" s="1"/>
  <c r="BB22" i="2" s="1"/>
  <c r="BP22" i="2" s="1"/>
  <c r="CD22" i="2" s="1"/>
  <c r="CR22" i="2" s="1"/>
  <c r="DF22" i="2" s="1"/>
  <c r="DT22" i="2" s="1"/>
  <c r="EH22" i="2" s="1"/>
  <c r="M22" i="2"/>
  <c r="AA22" i="2" s="1"/>
  <c r="AO22" i="2" s="1"/>
  <c r="BC22" i="2" s="1"/>
  <c r="BQ22" i="2" s="1"/>
  <c r="CE22" i="2" s="1"/>
  <c r="CS22" i="2" s="1"/>
  <c r="DG22" i="2" s="1"/>
  <c r="DU22" i="2" s="1"/>
  <c r="EI22" i="2" s="1"/>
  <c r="DM20" i="2"/>
  <c r="CY15" i="2"/>
  <c r="AZ25" i="2"/>
  <c r="DZ20" i="2"/>
  <c r="DL15" i="2"/>
  <c r="DN19" i="2"/>
  <c r="CZ15" i="2"/>
  <c r="DA19" i="2"/>
  <c r="CM15" i="2"/>
  <c r="BA23" i="2"/>
  <c r="L25" i="2"/>
  <c r="Y25" i="2"/>
  <c r="AM25" i="2" s="1"/>
  <c r="BA25" i="2" s="1"/>
  <c r="BO25" i="2" s="1"/>
  <c r="CC25" i="2" s="1"/>
  <c r="CQ25" i="2" s="1"/>
  <c r="M21" i="2"/>
  <c r="AA21" i="2" s="1"/>
  <c r="AO21" i="2" s="1"/>
  <c r="BC21" i="2" s="1"/>
  <c r="BQ21" i="2" s="1"/>
  <c r="CE21" i="2" s="1"/>
  <c r="CS21" i="2" s="1"/>
  <c r="DG21" i="2" s="1"/>
  <c r="DU21" i="2" s="1"/>
  <c r="EI21" i="2" s="1"/>
  <c r="Z21" i="2"/>
  <c r="AN21" i="2" s="1"/>
  <c r="M19" i="2"/>
  <c r="AA19" i="2" s="1"/>
  <c r="AO19" i="2" s="1"/>
  <c r="Z19" i="2"/>
  <c r="AN19" i="2" s="1"/>
  <c r="M23" i="2"/>
  <c r="AA23" i="2" s="1"/>
  <c r="AO23" i="2" s="1"/>
  <c r="BC23" i="2" s="1"/>
  <c r="BQ23" i="2" s="1"/>
  <c r="CE23" i="2" s="1"/>
  <c r="CS23" i="2" s="1"/>
  <c r="DG23" i="2" s="1"/>
  <c r="DU23" i="2" s="1"/>
  <c r="EI23" i="2" s="1"/>
  <c r="Z23" i="2"/>
  <c r="AN23" i="2" s="1"/>
  <c r="BB23" i="2" s="1"/>
  <c r="BP23" i="2" s="1"/>
  <c r="CD23" i="2" s="1"/>
  <c r="CR23" i="2" s="1"/>
  <c r="DF23" i="2" s="1"/>
  <c r="DT23" i="2" s="1"/>
  <c r="EH23" i="2" s="1"/>
  <c r="M31" i="2"/>
  <c r="AA31" i="2" s="1"/>
  <c r="AO31" i="2" s="1"/>
  <c r="BC31" i="2" s="1"/>
  <c r="BQ31" i="2" s="1"/>
  <c r="CE31" i="2" s="1"/>
  <c r="Z31" i="2"/>
  <c r="AN31" i="2" s="1"/>
  <c r="CA19" i="2"/>
  <c r="BM15" i="2"/>
  <c r="BA19" i="2"/>
  <c r="AL15" i="2"/>
  <c r="EB30" i="2"/>
  <c r="CC31" i="2"/>
  <c r="BO30" i="2"/>
  <c r="DD31" i="2"/>
  <c r="DP31" i="2"/>
  <c r="CB32" i="2"/>
  <c r="DO32" i="2"/>
  <c r="DA30" i="2"/>
  <c r="BC32" i="2"/>
  <c r="AP32" i="2"/>
  <c r="BB28" i="2"/>
  <c r="AP28" i="2"/>
  <c r="DA26" i="2"/>
  <c r="DO28" i="2"/>
  <c r="CB28" i="2"/>
  <c r="DN26" i="2"/>
  <c r="EB28" i="2"/>
  <c r="EB26" i="2" s="1"/>
  <c r="DB27" i="2"/>
  <c r="CN26" i="2"/>
  <c r="CO27" i="2"/>
  <c r="CA26" i="2"/>
  <c r="AP29" i="2"/>
  <c r="BB27" i="2"/>
  <c r="AN26" i="2"/>
  <c r="BO29" i="2"/>
  <c r="BD29" i="2"/>
  <c r="DO29" i="2"/>
  <c r="AP27" i="2"/>
  <c r="BN26" i="2"/>
  <c r="CB27" i="2"/>
  <c r="BC27" i="2"/>
  <c r="AO26" i="2"/>
  <c r="BO27" i="2"/>
  <c r="BA26" i="2"/>
  <c r="BP29" i="2"/>
  <c r="CO29" i="2"/>
  <c r="DC22" i="2"/>
  <c r="DE17" i="2"/>
  <c r="DD17" i="2"/>
  <c r="EC22" i="2"/>
  <c r="CE17" i="2"/>
  <c r="BR17" i="2"/>
  <c r="EF21" i="2"/>
  <c r="ED18" i="2"/>
  <c r="DQ17" i="2"/>
  <c r="EG24" i="2"/>
  <c r="EJ24" i="2" s="1"/>
  <c r="DV24" i="2"/>
  <c r="ED17" i="2"/>
  <c r="DX14" i="2"/>
  <c r="DJ54" i="2"/>
  <c r="CV58" i="2"/>
  <c r="CH59" i="2"/>
  <c r="CY14" i="2" l="1"/>
  <c r="CY54" i="2" s="1"/>
  <c r="CY58" i="2" s="1"/>
  <c r="CY59" i="2" s="1"/>
  <c r="EA7" i="2"/>
  <c r="EA9" i="2" s="1"/>
  <c r="EA11" i="2" s="1"/>
  <c r="EA57" i="2" s="1"/>
  <c r="DM9" i="2"/>
  <c r="DM11" i="2" s="1"/>
  <c r="DM57" i="2" s="1"/>
  <c r="AA7" i="2"/>
  <c r="AO7" i="2" s="1"/>
  <c r="Z7" i="2"/>
  <c r="AN7" i="2" s="1"/>
  <c r="CM9" i="2"/>
  <c r="CM11" i="2" s="1"/>
  <c r="CM57" i="2" s="1"/>
  <c r="DA7" i="2"/>
  <c r="BA7" i="2"/>
  <c r="AM9" i="2"/>
  <c r="AM11" i="2" s="1"/>
  <c r="AM57" i="2" s="1"/>
  <c r="CZ9" i="2"/>
  <c r="CZ11" i="2" s="1"/>
  <c r="CZ57" i="2" s="1"/>
  <c r="DN7" i="2"/>
  <c r="CN7" i="2"/>
  <c r="BZ9" i="2"/>
  <c r="BZ11" i="2" s="1"/>
  <c r="BZ57" i="2" s="1"/>
  <c r="CA7" i="2"/>
  <c r="BM9" i="2"/>
  <c r="BM11" i="2" s="1"/>
  <c r="BM57" i="2" s="1"/>
  <c r="AZ9" i="2"/>
  <c r="AZ11" i="2" s="1"/>
  <c r="AZ57" i="2" s="1"/>
  <c r="BN7" i="2"/>
  <c r="AN30" i="2"/>
  <c r="AP19" i="2"/>
  <c r="BD51" i="2"/>
  <c r="CC47" i="2"/>
  <c r="CQ47" i="2" s="1"/>
  <c r="BD45" i="2"/>
  <c r="AN42" i="2"/>
  <c r="AO42" i="2"/>
  <c r="BC42" i="2"/>
  <c r="AY54" i="2"/>
  <c r="AY58" i="2" s="1"/>
  <c r="AY59" i="2" s="1"/>
  <c r="BL14" i="2"/>
  <c r="BL54" i="2" s="1"/>
  <c r="BL58" i="2" s="1"/>
  <c r="BL59" i="2" s="1"/>
  <c r="CL54" i="2"/>
  <c r="CL58" i="2" s="1"/>
  <c r="CL59" i="2" s="1"/>
  <c r="BY54" i="2"/>
  <c r="BY58" i="2" s="1"/>
  <c r="BY59" i="2" s="1"/>
  <c r="BA50" i="2"/>
  <c r="AM49" i="2"/>
  <c r="AM41" i="2" s="1"/>
  <c r="CA50" i="2"/>
  <c r="BM49" i="2"/>
  <c r="BM41" i="2" s="1"/>
  <c r="EA50" i="2"/>
  <c r="EA49" i="2" s="1"/>
  <c r="EA41" i="2" s="1"/>
  <c r="DM49" i="2"/>
  <c r="DM41" i="2" s="1"/>
  <c r="BN50" i="2"/>
  <c r="AZ49" i="2"/>
  <c r="AZ41" i="2" s="1"/>
  <c r="DA50" i="2"/>
  <c r="CM49" i="2"/>
  <c r="CM41" i="2" s="1"/>
  <c r="M50" i="2"/>
  <c r="AA50" i="2" s="1"/>
  <c r="AO50" i="2" s="1"/>
  <c r="Z50" i="2"/>
  <c r="AN50" i="2" s="1"/>
  <c r="DN50" i="2"/>
  <c r="CZ49" i="2"/>
  <c r="CZ41" i="2" s="1"/>
  <c r="CN50" i="2"/>
  <c r="BZ49" i="2"/>
  <c r="BZ41" i="2" s="1"/>
  <c r="AP47" i="2"/>
  <c r="BB42" i="2"/>
  <c r="BR47" i="2"/>
  <c r="BD47" i="2"/>
  <c r="DL14" i="2"/>
  <c r="DL54" i="2" s="1"/>
  <c r="DL58" i="2" s="1"/>
  <c r="DL59" i="2" s="1"/>
  <c r="BN36" i="2"/>
  <c r="AZ35" i="2"/>
  <c r="DN36" i="2"/>
  <c r="CZ35" i="2"/>
  <c r="CZ14" i="2" s="1"/>
  <c r="M36" i="2"/>
  <c r="AA36" i="2" s="1"/>
  <c r="AO36" i="2" s="1"/>
  <c r="Z36" i="2"/>
  <c r="AN36" i="2" s="1"/>
  <c r="CN36" i="2"/>
  <c r="BZ35" i="2"/>
  <c r="BZ14" i="2" s="1"/>
  <c r="AL14" i="2"/>
  <c r="AL54" i="2" s="1"/>
  <c r="AL58" i="2" s="1"/>
  <c r="AL59" i="2" s="1"/>
  <c r="CM35" i="2"/>
  <c r="CM14" i="2" s="1"/>
  <c r="DA36" i="2"/>
  <c r="EA36" i="2"/>
  <c r="EA35" i="2" s="1"/>
  <c r="DM35" i="2"/>
  <c r="BA36" i="2"/>
  <c r="AM35" i="2"/>
  <c r="CA36" i="2"/>
  <c r="BM35" i="2"/>
  <c r="BM14" i="2" s="1"/>
  <c r="AZ15" i="2"/>
  <c r="CN16" i="2"/>
  <c r="CN15" i="2" s="1"/>
  <c r="AM15" i="2"/>
  <c r="M16" i="2"/>
  <c r="AA16" i="2" s="1"/>
  <c r="AO16" i="2" s="1"/>
  <c r="BC16" i="2" s="1"/>
  <c r="BQ16" i="2" s="1"/>
  <c r="CE16" i="2" s="1"/>
  <c r="CS16" i="2" s="1"/>
  <c r="DG16" i="2" s="1"/>
  <c r="DU16" i="2" s="1"/>
  <c r="Z16" i="2"/>
  <c r="AN16" i="2" s="1"/>
  <c r="BB16" i="2" s="1"/>
  <c r="BP16" i="2" s="1"/>
  <c r="CD16" i="2" s="1"/>
  <c r="CR16" i="2" s="1"/>
  <c r="DF16" i="2" s="1"/>
  <c r="DT16" i="2" s="1"/>
  <c r="EH16" i="2" s="1"/>
  <c r="BN16" i="2"/>
  <c r="CD53" i="2"/>
  <c r="BP52" i="2"/>
  <c r="ED53" i="2"/>
  <c r="ED52" i="2" s="1"/>
  <c r="DP52" i="2"/>
  <c r="EC52" i="2"/>
  <c r="DQ53" i="2"/>
  <c r="DC52" i="2"/>
  <c r="BD52" i="2"/>
  <c r="F12" i="3" s="1"/>
  <c r="BR53" i="2"/>
  <c r="CE53" i="2"/>
  <c r="BQ52" i="2"/>
  <c r="CQ53" i="2"/>
  <c r="CC52" i="2"/>
  <c r="DD53" i="2"/>
  <c r="CP52" i="2"/>
  <c r="DC51" i="2"/>
  <c r="BQ51" i="2"/>
  <c r="CC51" i="2"/>
  <c r="BP51" i="2"/>
  <c r="DP51" i="2"/>
  <c r="CP51" i="2"/>
  <c r="EC51" i="2"/>
  <c r="DP48" i="2"/>
  <c r="DQ47" i="2"/>
  <c r="ED45" i="2"/>
  <c r="CE43" i="2"/>
  <c r="BQ42" i="2"/>
  <c r="EC42" i="2"/>
  <c r="CP48" i="2"/>
  <c r="CF48" i="2"/>
  <c r="DQ43" i="2"/>
  <c r="CR46" i="2"/>
  <c r="CF46" i="2"/>
  <c r="CD43" i="2"/>
  <c r="BP42" i="2"/>
  <c r="BR43" i="2"/>
  <c r="DC45" i="2"/>
  <c r="DC42" i="2" s="1"/>
  <c r="CD45" i="2"/>
  <c r="BR45" i="2"/>
  <c r="DP44" i="2"/>
  <c r="DH44" i="2"/>
  <c r="ED43" i="2"/>
  <c r="DQ46" i="2"/>
  <c r="DB42" i="2"/>
  <c r="CQ43" i="2"/>
  <c r="EB42" i="2"/>
  <c r="CB42" i="2"/>
  <c r="DD43" i="2"/>
  <c r="DD39" i="2"/>
  <c r="CT39" i="2"/>
  <c r="ED39" i="2"/>
  <c r="CC37" i="2"/>
  <c r="BR37" i="2"/>
  <c r="DD37" i="2"/>
  <c r="DP40" i="2"/>
  <c r="EC37" i="2"/>
  <c r="BP38" i="2"/>
  <c r="BD38" i="2"/>
  <c r="DP38" i="2"/>
  <c r="CQ38" i="2"/>
  <c r="CC40" i="2"/>
  <c r="BR40" i="2"/>
  <c r="ED34" i="2"/>
  <c r="CD34" i="2"/>
  <c r="BR34" i="2"/>
  <c r="BD33" i="2"/>
  <c r="AP33" i="2"/>
  <c r="CB33" i="2"/>
  <c r="CB30" i="2" s="1"/>
  <c r="BR33" i="2"/>
  <c r="BN30" i="2"/>
  <c r="DB33" i="2"/>
  <c r="CN30" i="2"/>
  <c r="AP22" i="2"/>
  <c r="AO30" i="2"/>
  <c r="Z18" i="2"/>
  <c r="AN18" i="2" s="1"/>
  <c r="BB18" i="2" s="1"/>
  <c r="M18" i="2"/>
  <c r="AA18" i="2" s="1"/>
  <c r="AO18" i="2" s="1"/>
  <c r="BC18" i="2" s="1"/>
  <c r="BQ18" i="2" s="1"/>
  <c r="CE18" i="2" s="1"/>
  <c r="CS18" i="2" s="1"/>
  <c r="DG18" i="2" s="1"/>
  <c r="DU18" i="2" s="1"/>
  <c r="EI18" i="2" s="1"/>
  <c r="EA20" i="2"/>
  <c r="EA15" i="2" s="1"/>
  <c r="DM15" i="2"/>
  <c r="EB19" i="2"/>
  <c r="EB15" i="2" s="1"/>
  <c r="DN15" i="2"/>
  <c r="M25" i="2"/>
  <c r="AA25" i="2" s="1"/>
  <c r="AO25" i="2" s="1"/>
  <c r="BC25" i="2" s="1"/>
  <c r="BQ25" i="2" s="1"/>
  <c r="CE25" i="2" s="1"/>
  <c r="CS25" i="2" s="1"/>
  <c r="DG25" i="2" s="1"/>
  <c r="DU25" i="2" s="1"/>
  <c r="EI25" i="2" s="1"/>
  <c r="Z25" i="2"/>
  <c r="AN25" i="2" s="1"/>
  <c r="BB25" i="2" s="1"/>
  <c r="BP25" i="2" s="1"/>
  <c r="CD25" i="2" s="1"/>
  <c r="CR25" i="2" s="1"/>
  <c r="DF25" i="2" s="1"/>
  <c r="DT25" i="2" s="1"/>
  <c r="EH25" i="2" s="1"/>
  <c r="CO20" i="2"/>
  <c r="CO19" i="2"/>
  <c r="CA15" i="2"/>
  <c r="CO31" i="2"/>
  <c r="CA30" i="2"/>
  <c r="AP23" i="2"/>
  <c r="BO19" i="2"/>
  <c r="BA15" i="2"/>
  <c r="BO23" i="2"/>
  <c r="BD23" i="2"/>
  <c r="DZ15" i="2"/>
  <c r="DZ14" i="2" s="1"/>
  <c r="DZ54" i="2" s="1"/>
  <c r="DZ58" i="2" s="1"/>
  <c r="DZ59" i="2" s="1"/>
  <c r="DB19" i="2"/>
  <c r="BB21" i="2"/>
  <c r="AP21" i="2"/>
  <c r="BB31" i="2"/>
  <c r="AP31" i="2"/>
  <c r="BO22" i="2"/>
  <c r="BD22" i="2"/>
  <c r="BB19" i="2"/>
  <c r="DB23" i="2"/>
  <c r="CB19" i="2"/>
  <c r="BC19" i="2"/>
  <c r="DO19" i="2"/>
  <c r="DA15" i="2"/>
  <c r="BN25" i="2"/>
  <c r="M20" i="2"/>
  <c r="AA20" i="2" s="1"/>
  <c r="AO20" i="2" s="1"/>
  <c r="Z20" i="2"/>
  <c r="AN20" i="2" s="1"/>
  <c r="BB20" i="2" s="1"/>
  <c r="BP20" i="2" s="1"/>
  <c r="CD20" i="2" s="1"/>
  <c r="CR20" i="2" s="1"/>
  <c r="DF20" i="2" s="1"/>
  <c r="DT20" i="2" s="1"/>
  <c r="EH20" i="2" s="1"/>
  <c r="CC30" i="2"/>
  <c r="CQ31" i="2"/>
  <c r="BQ32" i="2"/>
  <c r="BD32" i="2"/>
  <c r="BC30" i="2"/>
  <c r="CP32" i="2"/>
  <c r="DO30" i="2"/>
  <c r="EC32" i="2"/>
  <c r="ED31" i="2"/>
  <c r="DR31" i="2"/>
  <c r="CS31" i="2"/>
  <c r="CB26" i="2"/>
  <c r="CP27" i="2"/>
  <c r="DC27" i="2"/>
  <c r="CO26" i="2"/>
  <c r="CP28" i="2"/>
  <c r="DC29" i="2"/>
  <c r="BO26" i="2"/>
  <c r="CC27" i="2"/>
  <c r="CC29" i="2"/>
  <c r="BR29" i="2"/>
  <c r="DO26" i="2"/>
  <c r="EC28" i="2"/>
  <c r="EC29" i="2"/>
  <c r="BP27" i="2"/>
  <c r="BD27" i="2"/>
  <c r="DP27" i="2"/>
  <c r="DB26" i="2"/>
  <c r="CD29" i="2"/>
  <c r="AP26" i="2"/>
  <c r="BB26" i="2"/>
  <c r="BQ27" i="2"/>
  <c r="BC26" i="2"/>
  <c r="BP28" i="2"/>
  <c r="BD28" i="2"/>
  <c r="DE18" i="2"/>
  <c r="DR17" i="2"/>
  <c r="DE25" i="2"/>
  <c r="EE17" i="2"/>
  <c r="CS17" i="2"/>
  <c r="CF17" i="2"/>
  <c r="DQ22" i="2"/>
  <c r="DS17" i="2"/>
  <c r="DX54" i="2"/>
  <c r="CV59" i="2"/>
  <c r="DJ58" i="2"/>
  <c r="AP30" i="2" l="1"/>
  <c r="BD42" i="2"/>
  <c r="F8" i="3" s="1"/>
  <c r="BO7" i="2"/>
  <c r="BA9" i="2"/>
  <c r="BA11" i="2" s="1"/>
  <c r="BA57" i="2" s="1"/>
  <c r="DO7" i="2"/>
  <c r="DA9" i="2"/>
  <c r="DA11" i="2" s="1"/>
  <c r="DA57" i="2" s="1"/>
  <c r="CO7" i="2"/>
  <c r="CA9" i="2"/>
  <c r="CA11" i="2" s="1"/>
  <c r="CA57" i="2" s="1"/>
  <c r="AP7" i="2"/>
  <c r="AP8" i="2" s="1"/>
  <c r="AP9" i="2" s="1"/>
  <c r="AP11" i="2" s="1"/>
  <c r="BB7" i="2"/>
  <c r="AN9" i="2"/>
  <c r="AN11" i="2" s="1"/>
  <c r="AN57" i="2" s="1"/>
  <c r="DB7" i="2"/>
  <c r="CN9" i="2"/>
  <c r="CN11" i="2" s="1"/>
  <c r="CN57" i="2" s="1"/>
  <c r="AO9" i="2"/>
  <c r="AO11" i="2" s="1"/>
  <c r="AO57" i="2" s="1"/>
  <c r="BC7" i="2"/>
  <c r="DN9" i="2"/>
  <c r="DN11" i="2" s="1"/>
  <c r="DN57" i="2" s="1"/>
  <c r="EB7" i="2"/>
  <c r="EB9" i="2" s="1"/>
  <c r="EB11" i="2" s="1"/>
  <c r="EB57" i="2" s="1"/>
  <c r="BN9" i="2"/>
  <c r="BN11" i="2" s="1"/>
  <c r="BN57" i="2" s="1"/>
  <c r="CB7" i="2"/>
  <c r="CC42" i="2"/>
  <c r="CF47" i="2"/>
  <c r="AP42" i="2"/>
  <c r="E8" i="3" s="1"/>
  <c r="BR52" i="2"/>
  <c r="G12" i="3" s="1"/>
  <c r="DP42" i="2"/>
  <c r="AZ14" i="2"/>
  <c r="AZ54" i="2" s="1"/>
  <c r="AZ58" i="2" s="1"/>
  <c r="AZ59" i="2" s="1"/>
  <c r="EA14" i="2"/>
  <c r="EA54" i="2" s="1"/>
  <c r="EA58" i="2" s="1"/>
  <c r="EA59" i="2" s="1"/>
  <c r="BP26" i="2"/>
  <c r="AP25" i="2"/>
  <c r="AP16" i="2"/>
  <c r="BD16" i="2"/>
  <c r="CM54" i="2"/>
  <c r="CM58" i="2" s="1"/>
  <c r="CM59" i="2" s="1"/>
  <c r="BM54" i="2"/>
  <c r="BM58" i="2" s="1"/>
  <c r="BM59" i="2" s="1"/>
  <c r="CB50" i="2"/>
  <c r="BN49" i="2"/>
  <c r="BN41" i="2" s="1"/>
  <c r="BZ54" i="2"/>
  <c r="BZ58" i="2" s="1"/>
  <c r="BZ59" i="2" s="1"/>
  <c r="EB50" i="2"/>
  <c r="EB49" i="2" s="1"/>
  <c r="EB41" i="2" s="1"/>
  <c r="DN49" i="2"/>
  <c r="DN41" i="2" s="1"/>
  <c r="BB50" i="2"/>
  <c r="AN49" i="2"/>
  <c r="AN41" i="2" s="1"/>
  <c r="DB50" i="2"/>
  <c r="CN49" i="2"/>
  <c r="CN41" i="2" s="1"/>
  <c r="BO50" i="2"/>
  <c r="BA49" i="2"/>
  <c r="BA41" i="2" s="1"/>
  <c r="BC50" i="2"/>
  <c r="AO49" i="2"/>
  <c r="AO41" i="2" s="1"/>
  <c r="CZ54" i="2"/>
  <c r="CZ58" i="2" s="1"/>
  <c r="CZ59" i="2" s="1"/>
  <c r="CO50" i="2"/>
  <c r="CA49" i="2"/>
  <c r="CA41" i="2" s="1"/>
  <c r="DO50" i="2"/>
  <c r="DA49" i="2"/>
  <c r="DA41" i="2" s="1"/>
  <c r="AP50" i="2"/>
  <c r="AM14" i="2"/>
  <c r="AM54" i="2" s="1"/>
  <c r="AM58" i="2" s="1"/>
  <c r="AM59" i="2" s="1"/>
  <c r="BB36" i="2"/>
  <c r="AN35" i="2"/>
  <c r="AO35" i="2"/>
  <c r="BC36" i="2"/>
  <c r="DN35" i="2"/>
  <c r="DN14" i="2" s="1"/>
  <c r="EB36" i="2"/>
  <c r="EB35" i="2" s="1"/>
  <c r="EB14" i="2" s="1"/>
  <c r="DO36" i="2"/>
  <c r="DA35" i="2"/>
  <c r="DA14" i="2" s="1"/>
  <c r="DM14" i="2"/>
  <c r="DM54" i="2" s="1"/>
  <c r="DM58" i="2" s="1"/>
  <c r="DM59" i="2" s="1"/>
  <c r="CA35" i="2"/>
  <c r="CA14" i="2" s="1"/>
  <c r="CO36" i="2"/>
  <c r="CB36" i="2"/>
  <c r="BN35" i="2"/>
  <c r="BA35" i="2"/>
  <c r="BA14" i="2" s="1"/>
  <c r="BO36" i="2"/>
  <c r="CN35" i="2"/>
  <c r="CN14" i="2" s="1"/>
  <c r="DB36" i="2"/>
  <c r="AP36" i="2"/>
  <c r="AO15" i="2"/>
  <c r="CB16" i="2"/>
  <c r="BR16" i="2"/>
  <c r="DB16" i="2"/>
  <c r="DB15" i="2" s="1"/>
  <c r="DE53" i="2"/>
  <c r="CQ52" i="2"/>
  <c r="EE53" i="2"/>
  <c r="DQ52" i="2"/>
  <c r="CS53" i="2"/>
  <c r="CE52" i="2"/>
  <c r="DR53" i="2"/>
  <c r="DD52" i="2"/>
  <c r="CF53" i="2"/>
  <c r="CD52" i="2"/>
  <c r="CR53" i="2"/>
  <c r="DD51" i="2"/>
  <c r="CD51" i="2"/>
  <c r="BR51" i="2"/>
  <c r="ED51" i="2"/>
  <c r="CQ51" i="2"/>
  <c r="CE51" i="2"/>
  <c r="DQ51" i="2"/>
  <c r="CS43" i="2"/>
  <c r="CE42" i="2"/>
  <c r="DE43" i="2"/>
  <c r="CQ42" i="2"/>
  <c r="CR45" i="2"/>
  <c r="CF45" i="2"/>
  <c r="DF46" i="2"/>
  <c r="CT46" i="2"/>
  <c r="EE46" i="2"/>
  <c r="EE43" i="2"/>
  <c r="CF43" i="2"/>
  <c r="DQ45" i="2"/>
  <c r="DQ42" i="2" s="1"/>
  <c r="DD48" i="2"/>
  <c r="CT48" i="2"/>
  <c r="DR43" i="2"/>
  <c r="BR42" i="2"/>
  <c r="G8" i="3" s="1"/>
  <c r="EE47" i="2"/>
  <c r="CP42" i="2"/>
  <c r="DE47" i="2"/>
  <c r="CT47" i="2"/>
  <c r="CR43" i="2"/>
  <c r="CD42" i="2"/>
  <c r="ED44" i="2"/>
  <c r="EJ44" i="2" s="1"/>
  <c r="DV44" i="2"/>
  <c r="ED48" i="2"/>
  <c r="DE38" i="2"/>
  <c r="ED38" i="2"/>
  <c r="DR37" i="2"/>
  <c r="CQ40" i="2"/>
  <c r="CF40" i="2"/>
  <c r="DR39" i="2"/>
  <c r="DH39" i="2"/>
  <c r="CD38" i="2"/>
  <c r="BR38" i="2"/>
  <c r="CQ37" i="2"/>
  <c r="CF37" i="2"/>
  <c r="ED40" i="2"/>
  <c r="CR34" i="2"/>
  <c r="CF34" i="2"/>
  <c r="DP33" i="2"/>
  <c r="DB30" i="2"/>
  <c r="CP33" i="2"/>
  <c r="CP30" i="2" s="1"/>
  <c r="CF33" i="2"/>
  <c r="AP18" i="2"/>
  <c r="BD18" i="2"/>
  <c r="BP18" i="2"/>
  <c r="BC20" i="2"/>
  <c r="BC15" i="2" s="1"/>
  <c r="AP20" i="2"/>
  <c r="BP19" i="2"/>
  <c r="BB15" i="2"/>
  <c r="BD19" i="2"/>
  <c r="BP21" i="2"/>
  <c r="BD21" i="2"/>
  <c r="CC19" i="2"/>
  <c r="BO15" i="2"/>
  <c r="DC19" i="2"/>
  <c r="CO15" i="2"/>
  <c r="DC31" i="2"/>
  <c r="CO30" i="2"/>
  <c r="BD25" i="2"/>
  <c r="CC23" i="2"/>
  <c r="BR23" i="2"/>
  <c r="CB25" i="2"/>
  <c r="BR25" i="2"/>
  <c r="BN15" i="2"/>
  <c r="DP19" i="2"/>
  <c r="DC20" i="2"/>
  <c r="CP19" i="2"/>
  <c r="BQ19" i="2"/>
  <c r="AN15" i="2"/>
  <c r="CC22" i="2"/>
  <c r="BR22" i="2"/>
  <c r="EC19" i="2"/>
  <c r="EC15" i="2" s="1"/>
  <c r="DO15" i="2"/>
  <c r="DP23" i="2"/>
  <c r="BB30" i="2"/>
  <c r="BD30" i="2" s="1"/>
  <c r="BP31" i="2"/>
  <c r="BD31" i="2"/>
  <c r="CE32" i="2"/>
  <c r="BQ30" i="2"/>
  <c r="BR32" i="2"/>
  <c r="EF31" i="2"/>
  <c r="DD32" i="2"/>
  <c r="DE31" i="2"/>
  <c r="CQ30" i="2"/>
  <c r="DG31" i="2"/>
  <c r="DU31" i="2" s="1"/>
  <c r="EC30" i="2"/>
  <c r="DD28" i="2"/>
  <c r="CQ29" i="2"/>
  <c r="CF29" i="2"/>
  <c r="CQ27" i="2"/>
  <c r="CC26" i="2"/>
  <c r="DQ27" i="2"/>
  <c r="DC26" i="2"/>
  <c r="CE27" i="2"/>
  <c r="BQ26" i="2"/>
  <c r="BD26" i="2"/>
  <c r="DP26" i="2"/>
  <c r="ED27" i="2"/>
  <c r="CR29" i="2"/>
  <c r="EC26" i="2"/>
  <c r="DQ29" i="2"/>
  <c r="CP26" i="2"/>
  <c r="DD27" i="2"/>
  <c r="CD27" i="2"/>
  <c r="CR27" i="2" s="1"/>
  <c r="DF27" i="2" s="1"/>
  <c r="BR27" i="2"/>
  <c r="CD28" i="2"/>
  <c r="BR28" i="2"/>
  <c r="EI16" i="2"/>
  <c r="DG17" i="2"/>
  <c r="CT17" i="2"/>
  <c r="EF17" i="2"/>
  <c r="EG17" i="2"/>
  <c r="DS18" i="2"/>
  <c r="EE22" i="2"/>
  <c r="DS25" i="2"/>
  <c r="DJ59" i="2"/>
  <c r="DX58" i="2"/>
  <c r="E5" i="3" l="1"/>
  <c r="AP41" i="2"/>
  <c r="AP57" i="2"/>
  <c r="BC9" i="2"/>
  <c r="BC11" i="2" s="1"/>
  <c r="BC57" i="2" s="1"/>
  <c r="BQ7" i="2"/>
  <c r="DC7" i="2"/>
  <c r="CO9" i="2"/>
  <c r="CO11" i="2" s="1"/>
  <c r="CO57" i="2" s="1"/>
  <c r="DO9" i="2"/>
  <c r="DO11" i="2" s="1"/>
  <c r="DO57" i="2" s="1"/>
  <c r="EC7" i="2"/>
  <c r="EC9" i="2" s="1"/>
  <c r="EC11" i="2" s="1"/>
  <c r="EC57" i="2" s="1"/>
  <c r="CP7" i="2"/>
  <c r="CB9" i="2"/>
  <c r="CB11" i="2" s="1"/>
  <c r="CB57" i="2" s="1"/>
  <c r="BD7" i="2"/>
  <c r="BD8" i="2" s="1"/>
  <c r="BD9" i="2" s="1"/>
  <c r="BD11" i="2" s="1"/>
  <c r="CC7" i="2"/>
  <c r="BO9" i="2"/>
  <c r="BO11" i="2" s="1"/>
  <c r="BO57" i="2" s="1"/>
  <c r="DP7" i="2"/>
  <c r="DB9" i="2"/>
  <c r="DB11" i="2" s="1"/>
  <c r="DB57" i="2" s="1"/>
  <c r="BP7" i="2"/>
  <c r="BB9" i="2"/>
  <c r="BB11" i="2" s="1"/>
  <c r="BB57" i="2" s="1"/>
  <c r="CN54" i="2"/>
  <c r="CN58" i="2" s="1"/>
  <c r="CN59" i="2" s="1"/>
  <c r="CA54" i="2"/>
  <c r="CA58" i="2" s="1"/>
  <c r="CA59" i="2" s="1"/>
  <c r="AP35" i="2"/>
  <c r="CB15" i="2"/>
  <c r="BA54" i="2"/>
  <c r="BA58" i="2" s="1"/>
  <c r="BA59" i="2" s="1"/>
  <c r="DA54" i="2"/>
  <c r="DA58" i="2" s="1"/>
  <c r="DA59" i="2" s="1"/>
  <c r="AP49" i="2"/>
  <c r="E9" i="3" s="1"/>
  <c r="BP50" i="2"/>
  <c r="BB49" i="2"/>
  <c r="BB41" i="2" s="1"/>
  <c r="CC50" i="2"/>
  <c r="BO49" i="2"/>
  <c r="BO41" i="2" s="1"/>
  <c r="DN54" i="2"/>
  <c r="DN58" i="2" s="1"/>
  <c r="DN59" i="2" s="1"/>
  <c r="EC50" i="2"/>
  <c r="EC49" i="2" s="1"/>
  <c r="EC41" i="2" s="1"/>
  <c r="DO49" i="2"/>
  <c r="DO41" i="2" s="1"/>
  <c r="BD50" i="2"/>
  <c r="BQ50" i="2"/>
  <c r="BC49" i="2"/>
  <c r="BC41" i="2" s="1"/>
  <c r="BD41" i="2" s="1"/>
  <c r="DP50" i="2"/>
  <c r="DB49" i="2"/>
  <c r="DB41" i="2" s="1"/>
  <c r="DC50" i="2"/>
  <c r="CO49" i="2"/>
  <c r="CO41" i="2" s="1"/>
  <c r="CP50" i="2"/>
  <c r="CB49" i="2"/>
  <c r="CB41" i="2" s="1"/>
  <c r="AO14" i="2"/>
  <c r="AO54" i="2" s="1"/>
  <c r="AO58" i="2" s="1"/>
  <c r="AO59" i="2" s="1"/>
  <c r="DC36" i="2"/>
  <c r="CO35" i="2"/>
  <c r="CO14" i="2" s="1"/>
  <c r="BC35" i="2"/>
  <c r="BC14" i="2" s="1"/>
  <c r="BQ36" i="2"/>
  <c r="DP36" i="2"/>
  <c r="DB35" i="2"/>
  <c r="DB14" i="2" s="1"/>
  <c r="CC36" i="2"/>
  <c r="BO35" i="2"/>
  <c r="BO14" i="2" s="1"/>
  <c r="EC36" i="2"/>
  <c r="EC35" i="2" s="1"/>
  <c r="EC14" i="2" s="1"/>
  <c r="DO35" i="2"/>
  <c r="DO14" i="2" s="1"/>
  <c r="CB35" i="2"/>
  <c r="CP36" i="2"/>
  <c r="BD36" i="2"/>
  <c r="BB35" i="2"/>
  <c r="BP36" i="2"/>
  <c r="DP16" i="2"/>
  <c r="DP15" i="2" s="1"/>
  <c r="CP16" i="2"/>
  <c r="CF16" i="2"/>
  <c r="CF52" i="2"/>
  <c r="H12" i="3" s="1"/>
  <c r="CS52" i="2"/>
  <c r="DG53" i="2"/>
  <c r="DS53" i="2"/>
  <c r="DE52" i="2"/>
  <c r="EE52" i="2"/>
  <c r="DR52" i="2"/>
  <c r="EF53" i="2"/>
  <c r="EF52" i="2" s="1"/>
  <c r="CT53" i="2"/>
  <c r="DF53" i="2"/>
  <c r="CR52" i="2"/>
  <c r="EE51" i="2"/>
  <c r="DE51" i="2"/>
  <c r="CR51" i="2"/>
  <c r="EB54" i="2"/>
  <c r="EB58" i="2" s="1"/>
  <c r="EB59" i="2" s="1"/>
  <c r="CS51" i="2"/>
  <c r="CF51" i="2"/>
  <c r="DR51" i="2"/>
  <c r="DF43" i="2"/>
  <c r="CR42" i="2"/>
  <c r="DR48" i="2"/>
  <c r="DR42" i="2" s="1"/>
  <c r="DH48" i="2"/>
  <c r="DF45" i="2"/>
  <c r="CT45" i="2"/>
  <c r="ED42" i="2"/>
  <c r="CT43" i="2"/>
  <c r="DS47" i="2"/>
  <c r="DH47" i="2"/>
  <c r="CF42" i="2"/>
  <c r="H8" i="3" s="1"/>
  <c r="DS43" i="2"/>
  <c r="DE42" i="2"/>
  <c r="DD42" i="2"/>
  <c r="EE45" i="2"/>
  <c r="EF43" i="2"/>
  <c r="DT46" i="2"/>
  <c r="DH46" i="2"/>
  <c r="DG43" i="2"/>
  <c r="CS42" i="2"/>
  <c r="CR38" i="2"/>
  <c r="CF38" i="2"/>
  <c r="DE40" i="2"/>
  <c r="CT40" i="2"/>
  <c r="EF37" i="2"/>
  <c r="DS38" i="2"/>
  <c r="DE37" i="2"/>
  <c r="CT37" i="2"/>
  <c r="EF39" i="2"/>
  <c r="EJ39" i="2" s="1"/>
  <c r="DV39" i="2"/>
  <c r="DF34" i="2"/>
  <c r="CT34" i="2"/>
  <c r="DD33" i="2"/>
  <c r="DD30" i="2" s="1"/>
  <c r="CT33" i="2"/>
  <c r="ED33" i="2"/>
  <c r="DP30" i="2"/>
  <c r="BR18" i="2"/>
  <c r="CD18" i="2"/>
  <c r="CQ19" i="2"/>
  <c r="CC15" i="2"/>
  <c r="DQ20" i="2"/>
  <c r="BP30" i="2"/>
  <c r="BR30" i="2" s="1"/>
  <c r="BR31" i="2"/>
  <c r="CD31" i="2"/>
  <c r="CQ22" i="2"/>
  <c r="CF22" i="2"/>
  <c r="CQ23" i="2"/>
  <c r="CF23" i="2"/>
  <c r="DQ31" i="2"/>
  <c r="DC30" i="2"/>
  <c r="CD21" i="2"/>
  <c r="BR21" i="2"/>
  <c r="AP15" i="2"/>
  <c r="AN14" i="2"/>
  <c r="ED19" i="2"/>
  <c r="BN14" i="2"/>
  <c r="BN54" i="2" s="1"/>
  <c r="BN58" i="2" s="1"/>
  <c r="BN59" i="2" s="1"/>
  <c r="BD15" i="2"/>
  <c r="ED23" i="2"/>
  <c r="CE19" i="2"/>
  <c r="DQ19" i="2"/>
  <c r="DC15" i="2"/>
  <c r="CD19" i="2"/>
  <c r="BP15" i="2"/>
  <c r="CP25" i="2"/>
  <c r="CF25" i="2"/>
  <c r="BR19" i="2"/>
  <c r="DD19" i="2"/>
  <c r="BQ20" i="2"/>
  <c r="BQ15" i="2" s="1"/>
  <c r="BD20" i="2"/>
  <c r="DR32" i="2"/>
  <c r="EI31" i="2"/>
  <c r="DE30" i="2"/>
  <c r="DS31" i="2"/>
  <c r="CS32" i="2"/>
  <c r="CE30" i="2"/>
  <c r="CF32" i="2"/>
  <c r="DF29" i="2"/>
  <c r="DT29" i="2" s="1"/>
  <c r="EE27" i="2"/>
  <c r="DQ26" i="2"/>
  <c r="DT27" i="2"/>
  <c r="EH27" i="2" s="1"/>
  <c r="CD26" i="2"/>
  <c r="DE27" i="2"/>
  <c r="CQ26" i="2"/>
  <c r="DD26" i="2"/>
  <c r="DR27" i="2"/>
  <c r="ED26" i="2"/>
  <c r="BR26" i="2"/>
  <c r="CE26" i="2"/>
  <c r="CS27" i="2"/>
  <c r="CT27" i="2" s="1"/>
  <c r="CF27" i="2"/>
  <c r="DE29" i="2"/>
  <c r="CT29" i="2"/>
  <c r="CR28" i="2"/>
  <c r="CF28" i="2"/>
  <c r="EE29" i="2"/>
  <c r="DR28" i="2"/>
  <c r="EG18" i="2"/>
  <c r="DU17" i="2"/>
  <c r="DH17" i="2"/>
  <c r="EG25" i="2"/>
  <c r="DX59" i="2"/>
  <c r="F5" i="3" l="1"/>
  <c r="CD7" i="2"/>
  <c r="BP9" i="2"/>
  <c r="BP11" i="2" s="1"/>
  <c r="BP57" i="2" s="1"/>
  <c r="BR7" i="2"/>
  <c r="BR8" i="2" s="1"/>
  <c r="BR9" i="2" s="1"/>
  <c r="BR11" i="2" s="1"/>
  <c r="ED7" i="2"/>
  <c r="ED9" i="2" s="1"/>
  <c r="ED11" i="2" s="1"/>
  <c r="ED57" i="2" s="1"/>
  <c r="DP9" i="2"/>
  <c r="DP11" i="2" s="1"/>
  <c r="DP57" i="2" s="1"/>
  <c r="DC9" i="2"/>
  <c r="DC11" i="2" s="1"/>
  <c r="DC57" i="2" s="1"/>
  <c r="DQ7" i="2"/>
  <c r="DD7" i="2"/>
  <c r="CP9" i="2"/>
  <c r="CP11" i="2" s="1"/>
  <c r="CP57" i="2" s="1"/>
  <c r="CQ7" i="2"/>
  <c r="CC9" i="2"/>
  <c r="CC11" i="2" s="1"/>
  <c r="CC57" i="2" s="1"/>
  <c r="BQ9" i="2"/>
  <c r="BQ11" i="2" s="1"/>
  <c r="BQ57" i="2" s="1"/>
  <c r="CE7" i="2"/>
  <c r="BD57" i="2"/>
  <c r="BD35" i="2"/>
  <c r="BR50" i="2"/>
  <c r="CT51" i="2"/>
  <c r="DO54" i="2"/>
  <c r="DO58" i="2" s="1"/>
  <c r="DO59" i="2" s="1"/>
  <c r="CB14" i="2"/>
  <c r="CB54" i="2" s="1"/>
  <c r="CB58" i="2" s="1"/>
  <c r="CB59" i="2" s="1"/>
  <c r="BC54" i="2"/>
  <c r="BC58" i="2" s="1"/>
  <c r="BC59" i="2" s="1"/>
  <c r="CO54" i="2"/>
  <c r="CO58" i="2" s="1"/>
  <c r="CO59" i="2" s="1"/>
  <c r="DQ50" i="2"/>
  <c r="DC49" i="2"/>
  <c r="DC41" i="2" s="1"/>
  <c r="EC54" i="2"/>
  <c r="EC58" i="2" s="1"/>
  <c r="BO54" i="2"/>
  <c r="BO58" i="2" s="1"/>
  <c r="BO59" i="2" s="1"/>
  <c r="ED50" i="2"/>
  <c r="ED49" i="2" s="1"/>
  <c r="ED41" i="2" s="1"/>
  <c r="DP49" i="2"/>
  <c r="DP41" i="2" s="1"/>
  <c r="CQ50" i="2"/>
  <c r="CC49" i="2"/>
  <c r="CC41" i="2" s="1"/>
  <c r="CE50" i="2"/>
  <c r="BQ49" i="2"/>
  <c r="BQ41" i="2" s="1"/>
  <c r="BD49" i="2"/>
  <c r="F9" i="3" s="1"/>
  <c r="DB54" i="2"/>
  <c r="DB58" i="2" s="1"/>
  <c r="DB59" i="2" s="1"/>
  <c r="DD50" i="2"/>
  <c r="CP49" i="2"/>
  <c r="CP41" i="2" s="1"/>
  <c r="CD50" i="2"/>
  <c r="BP49" i="2"/>
  <c r="BP41" i="2" s="1"/>
  <c r="ED36" i="2"/>
  <c r="ED35" i="2" s="1"/>
  <c r="DP35" i="2"/>
  <c r="DP14" i="2" s="1"/>
  <c r="CD36" i="2"/>
  <c r="BP35" i="2"/>
  <c r="BP14" i="2" s="1"/>
  <c r="CQ36" i="2"/>
  <c r="CC35" i="2"/>
  <c r="CC14" i="2" s="1"/>
  <c r="BR36" i="2"/>
  <c r="CE36" i="2"/>
  <c r="BQ35" i="2"/>
  <c r="BQ14" i="2" s="1"/>
  <c r="DD36" i="2"/>
  <c r="CP35" i="2"/>
  <c r="DQ36" i="2"/>
  <c r="DC35" i="2"/>
  <c r="DC14" i="2" s="1"/>
  <c r="BB14" i="2"/>
  <c r="CP15" i="2"/>
  <c r="DD16" i="2"/>
  <c r="CT16" i="2"/>
  <c r="ED16" i="2"/>
  <c r="ED15" i="2" s="1"/>
  <c r="EG53" i="2"/>
  <c r="EG52" i="2" s="1"/>
  <c r="DS52" i="2"/>
  <c r="DF52" i="2"/>
  <c r="DT53" i="2"/>
  <c r="DG52" i="2"/>
  <c r="DU53" i="2"/>
  <c r="CT52" i="2"/>
  <c r="I12" i="3" s="1"/>
  <c r="DH53" i="2"/>
  <c r="DF51" i="2"/>
  <c r="DG51" i="2"/>
  <c r="DS51" i="2"/>
  <c r="EF51" i="2"/>
  <c r="EH46" i="2"/>
  <c r="EJ46" i="2" s="1"/>
  <c r="DV46" i="2"/>
  <c r="DT45" i="2"/>
  <c r="DH45" i="2"/>
  <c r="EE42" i="2"/>
  <c r="EF48" i="2"/>
  <c r="EJ48" i="2" s="1"/>
  <c r="DV48" i="2"/>
  <c r="EG47" i="2"/>
  <c r="EJ47" i="2" s="1"/>
  <c r="DV47" i="2"/>
  <c r="DT43" i="2"/>
  <c r="DF42" i="2"/>
  <c r="DH43" i="2"/>
  <c r="EG43" i="2"/>
  <c r="DS42" i="2"/>
  <c r="DU43" i="2"/>
  <c r="DG42" i="2"/>
  <c r="CT42" i="2"/>
  <c r="I8" i="3" s="1"/>
  <c r="DF38" i="2"/>
  <c r="CT38" i="2"/>
  <c r="DS37" i="2"/>
  <c r="DH37" i="2"/>
  <c r="DS40" i="2"/>
  <c r="DH40" i="2"/>
  <c r="EG38" i="2"/>
  <c r="DT34" i="2"/>
  <c r="DH34" i="2"/>
  <c r="ED30" i="2"/>
  <c r="DR33" i="2"/>
  <c r="DH33" i="2"/>
  <c r="BR15" i="2"/>
  <c r="AN54" i="2"/>
  <c r="AP14" i="2"/>
  <c r="CF18" i="2"/>
  <c r="CR18" i="2"/>
  <c r="DR19" i="2"/>
  <c r="CR21" i="2"/>
  <c r="CF21" i="2"/>
  <c r="EE19" i="2"/>
  <c r="DQ15" i="2"/>
  <c r="CF31" i="2"/>
  <c r="CR31" i="2"/>
  <c r="CD30" i="2"/>
  <c r="CF30" i="2" s="1"/>
  <c r="CS19" i="2"/>
  <c r="CF19" i="2"/>
  <c r="DD25" i="2"/>
  <c r="CT25" i="2"/>
  <c r="DE23" i="2"/>
  <c r="CT23" i="2"/>
  <c r="EE20" i="2"/>
  <c r="EE31" i="2"/>
  <c r="EE30" i="2" s="1"/>
  <c r="DQ30" i="2"/>
  <c r="CE20" i="2"/>
  <c r="BR20" i="2"/>
  <c r="CR19" i="2"/>
  <c r="CD15" i="2"/>
  <c r="DE22" i="2"/>
  <c r="CT22" i="2"/>
  <c r="DE19" i="2"/>
  <c r="CQ15" i="2"/>
  <c r="DG32" i="2"/>
  <c r="CT32" i="2"/>
  <c r="CS30" i="2"/>
  <c r="EF32" i="2"/>
  <c r="DS30" i="2"/>
  <c r="EG31" i="2"/>
  <c r="DS27" i="2"/>
  <c r="EG27" i="2" s="1"/>
  <c r="DE26" i="2"/>
  <c r="CS26" i="2"/>
  <c r="DG27" i="2"/>
  <c r="DH27" i="2" s="1"/>
  <c r="DF28" i="2"/>
  <c r="CT28" i="2"/>
  <c r="EE26" i="2"/>
  <c r="CF26" i="2"/>
  <c r="EH29" i="2"/>
  <c r="DS29" i="2"/>
  <c r="DH29" i="2"/>
  <c r="EF28" i="2"/>
  <c r="DR26" i="2"/>
  <c r="EF27" i="2"/>
  <c r="CR26" i="2"/>
  <c r="EI17" i="2"/>
  <c r="DV17" i="2"/>
  <c r="G5" i="3" l="1"/>
  <c r="E6" i="3"/>
  <c r="E7" i="3" s="1"/>
  <c r="E11" i="3" s="1"/>
  <c r="BR41" i="2"/>
  <c r="CS7" i="2"/>
  <c r="CE9" i="2"/>
  <c r="CE11" i="2" s="1"/>
  <c r="CE57" i="2" s="1"/>
  <c r="DD9" i="2"/>
  <c r="DD11" i="2" s="1"/>
  <c r="DD57" i="2" s="1"/>
  <c r="DR7" i="2"/>
  <c r="DE7" i="2"/>
  <c r="CQ9" i="2"/>
  <c r="CQ11" i="2" s="1"/>
  <c r="CQ57" i="2" s="1"/>
  <c r="BR57" i="2"/>
  <c r="DQ9" i="2"/>
  <c r="DQ11" i="2" s="1"/>
  <c r="DQ57" i="2" s="1"/>
  <c r="EE7" i="2"/>
  <c r="EE9" i="2" s="1"/>
  <c r="EE11" i="2" s="1"/>
  <c r="EE57" i="2" s="1"/>
  <c r="CF7" i="2"/>
  <c r="CF8" i="2" s="1"/>
  <c r="CF9" i="2" s="1"/>
  <c r="CF11" i="2" s="1"/>
  <c r="CR7" i="2"/>
  <c r="CD9" i="2"/>
  <c r="CD11" i="2" s="1"/>
  <c r="CD57" i="2" s="1"/>
  <c r="DH52" i="2"/>
  <c r="J12" i="3" s="1"/>
  <c r="EF42" i="2"/>
  <c r="DV53" i="2"/>
  <c r="DH51" i="2"/>
  <c r="BQ54" i="2"/>
  <c r="BQ58" i="2" s="1"/>
  <c r="DP54" i="2"/>
  <c r="DP58" i="2" s="1"/>
  <c r="DP59" i="2" s="1"/>
  <c r="CC54" i="2"/>
  <c r="CC58" i="2" s="1"/>
  <c r="CC59" i="2" s="1"/>
  <c r="BR49" i="2"/>
  <c r="G9" i="3" s="1"/>
  <c r="CR50" i="2"/>
  <c r="CD49" i="2"/>
  <c r="CD41" i="2" s="1"/>
  <c r="CF50" i="2"/>
  <c r="CS50" i="2"/>
  <c r="CE49" i="2"/>
  <c r="CE41" i="2" s="1"/>
  <c r="DC54" i="2"/>
  <c r="DC58" i="2" s="1"/>
  <c r="DC59" i="2" s="1"/>
  <c r="DE50" i="2"/>
  <c r="CQ49" i="2"/>
  <c r="CQ41" i="2" s="1"/>
  <c r="EE50" i="2"/>
  <c r="EE49" i="2" s="1"/>
  <c r="EE41" i="2" s="1"/>
  <c r="DQ49" i="2"/>
  <c r="DQ41" i="2" s="1"/>
  <c r="DR50" i="2"/>
  <c r="DD49" i="2"/>
  <c r="DD41" i="2" s="1"/>
  <c r="CP14" i="2"/>
  <c r="CP54" i="2" s="1"/>
  <c r="CP58" i="2" s="1"/>
  <c r="CP59" i="2" s="1"/>
  <c r="BB54" i="2"/>
  <c r="BD14" i="2"/>
  <c r="CQ35" i="2"/>
  <c r="CQ14" i="2" s="1"/>
  <c r="DE36" i="2"/>
  <c r="EE36" i="2"/>
  <c r="EE35" i="2" s="1"/>
  <c r="DQ35" i="2"/>
  <c r="DQ14" i="2" s="1"/>
  <c r="CR36" i="2"/>
  <c r="CD35" i="2"/>
  <c r="CD14" i="2" s="1"/>
  <c r="CF36" i="2"/>
  <c r="DR36" i="2"/>
  <c r="DD35" i="2"/>
  <c r="BR35" i="2"/>
  <c r="CE35" i="2"/>
  <c r="CS36" i="2"/>
  <c r="ED14" i="2"/>
  <c r="ED54" i="2" s="1"/>
  <c r="ED58" i="2" s="1"/>
  <c r="ED59" i="2" s="1"/>
  <c r="DR16" i="2"/>
  <c r="DH16" i="2"/>
  <c r="DU52" i="2"/>
  <c r="EI53" i="2"/>
  <c r="EI52" i="2" s="1"/>
  <c r="EH53" i="2"/>
  <c r="DT52" i="2"/>
  <c r="DU51" i="2"/>
  <c r="EG51" i="2"/>
  <c r="DT51" i="2"/>
  <c r="EH43" i="2"/>
  <c r="DT42" i="2"/>
  <c r="DV43" i="2"/>
  <c r="DH42" i="2"/>
  <c r="J8" i="3" s="1"/>
  <c r="EI43" i="2"/>
  <c r="EI42" i="2" s="1"/>
  <c r="DU42" i="2"/>
  <c r="EH45" i="2"/>
  <c r="EJ45" i="2" s="1"/>
  <c r="DV45" i="2"/>
  <c r="EG42" i="2"/>
  <c r="EG37" i="2"/>
  <c r="EJ37" i="2" s="1"/>
  <c r="DV37" i="2"/>
  <c r="EG40" i="2"/>
  <c r="EJ40" i="2" s="1"/>
  <c r="DV40" i="2"/>
  <c r="DT38" i="2"/>
  <c r="DH38" i="2"/>
  <c r="EH34" i="2"/>
  <c r="EJ34" i="2" s="1"/>
  <c r="DV34" i="2"/>
  <c r="BR14" i="2"/>
  <c r="EF33" i="2"/>
  <c r="EJ33" i="2" s="1"/>
  <c r="DV33" i="2"/>
  <c r="DR30" i="2"/>
  <c r="CT18" i="2"/>
  <c r="DF18" i="2"/>
  <c r="AN58" i="2"/>
  <c r="AP54" i="2"/>
  <c r="DG19" i="2"/>
  <c r="CT19" i="2"/>
  <c r="EE15" i="2"/>
  <c r="DS19" i="2"/>
  <c r="DE15" i="2"/>
  <c r="DS23" i="2"/>
  <c r="DH23" i="2"/>
  <c r="DS22" i="2"/>
  <c r="DH22" i="2"/>
  <c r="CT31" i="2"/>
  <c r="DF31" i="2"/>
  <c r="CR30" i="2"/>
  <c r="CT30" i="2" s="1"/>
  <c r="CT21" i="2"/>
  <c r="DF21" i="2"/>
  <c r="DR25" i="2"/>
  <c r="DH25" i="2"/>
  <c r="DD15" i="2"/>
  <c r="CS20" i="2"/>
  <c r="CS15" i="2" s="1"/>
  <c r="CF20" i="2"/>
  <c r="DF19" i="2"/>
  <c r="CR15" i="2"/>
  <c r="EF19" i="2"/>
  <c r="CE15" i="2"/>
  <c r="EG30" i="2"/>
  <c r="DG30" i="2"/>
  <c r="DU32" i="2"/>
  <c r="DH32" i="2"/>
  <c r="CT26" i="2"/>
  <c r="DG26" i="2"/>
  <c r="DU27" i="2"/>
  <c r="EF26" i="2"/>
  <c r="DS26" i="2"/>
  <c r="EG29" i="2"/>
  <c r="EJ29" i="2" s="1"/>
  <c r="DV29" i="2"/>
  <c r="DT28" i="2"/>
  <c r="DH28" i="2"/>
  <c r="DF26" i="2"/>
  <c r="EC59" i="2"/>
  <c r="EJ17" i="2"/>
  <c r="F6" i="3" l="1"/>
  <c r="F7" i="3" s="1"/>
  <c r="F11" i="3" s="1"/>
  <c r="H5" i="3"/>
  <c r="G6" i="3"/>
  <c r="G7" i="3" s="1"/>
  <c r="G11" i="3" s="1"/>
  <c r="DR15" i="2"/>
  <c r="CF41" i="2"/>
  <c r="CF57" i="2"/>
  <c r="CR9" i="2"/>
  <c r="CR11" i="2" s="1"/>
  <c r="CR57" i="2" s="1"/>
  <c r="DF7" i="2"/>
  <c r="CT7" i="2"/>
  <c r="CT8" i="2" s="1"/>
  <c r="CT9" i="2" s="1"/>
  <c r="CT11" i="2" s="1"/>
  <c r="EF7" i="2"/>
  <c r="EF9" i="2" s="1"/>
  <c r="EF11" i="2" s="1"/>
  <c r="EF57" i="2" s="1"/>
  <c r="DR9" i="2"/>
  <c r="DR11" i="2" s="1"/>
  <c r="DR57" i="2" s="1"/>
  <c r="DE9" i="2"/>
  <c r="DE11" i="2" s="1"/>
  <c r="DE57" i="2" s="1"/>
  <c r="DS7" i="2"/>
  <c r="DG7" i="2"/>
  <c r="CS9" i="2"/>
  <c r="CS11" i="2" s="1"/>
  <c r="CS57" i="2" s="1"/>
  <c r="DQ54" i="2"/>
  <c r="DQ58" i="2" s="1"/>
  <c r="DQ59" i="2" s="1"/>
  <c r="BP54" i="2"/>
  <c r="BP58" i="2" s="1"/>
  <c r="BP59" i="2" s="1"/>
  <c r="CE14" i="2"/>
  <c r="CE54" i="2" s="1"/>
  <c r="CE58" i="2" s="1"/>
  <c r="CE59" i="2" s="1"/>
  <c r="EF30" i="2"/>
  <c r="EF50" i="2"/>
  <c r="DR49" i="2"/>
  <c r="DR41" i="2" s="1"/>
  <c r="CQ54" i="2"/>
  <c r="CQ58" i="2" s="1"/>
  <c r="CQ59" i="2" s="1"/>
  <c r="CF49" i="2"/>
  <c r="H9" i="3" s="1"/>
  <c r="DG50" i="2"/>
  <c r="CS49" i="2"/>
  <c r="CS41" i="2" s="1"/>
  <c r="DF50" i="2"/>
  <c r="CT50" i="2"/>
  <c r="CR49" i="2"/>
  <c r="CR41" i="2" s="1"/>
  <c r="DS50" i="2"/>
  <c r="DE49" i="2"/>
  <c r="DE41" i="2" s="1"/>
  <c r="EE14" i="2"/>
  <c r="EE54" i="2" s="1"/>
  <c r="EE58" i="2" s="1"/>
  <c r="EE59" i="2" s="1"/>
  <c r="CF35" i="2"/>
  <c r="DG36" i="2"/>
  <c r="CS35" i="2"/>
  <c r="CS14" i="2" s="1"/>
  <c r="DS36" i="2"/>
  <c r="DE35" i="2"/>
  <c r="DE14" i="2" s="1"/>
  <c r="CT36" i="2"/>
  <c r="CR35" i="2"/>
  <c r="DF36" i="2"/>
  <c r="DR35" i="2"/>
  <c r="EF36" i="2"/>
  <c r="EF35" i="2" s="1"/>
  <c r="BD54" i="2"/>
  <c r="BB58" i="2"/>
  <c r="CT15" i="2"/>
  <c r="EF16" i="2"/>
  <c r="EJ16" i="2" s="1"/>
  <c r="DV16" i="2"/>
  <c r="EH52" i="2"/>
  <c r="EJ52" i="2" s="1"/>
  <c r="L12" i="3" s="1"/>
  <c r="EJ53" i="2"/>
  <c r="DV52" i="2"/>
  <c r="K12" i="3" s="1"/>
  <c r="EH51" i="2"/>
  <c r="DV51" i="2"/>
  <c r="EI51" i="2"/>
  <c r="DV42" i="2"/>
  <c r="K8" i="3" s="1"/>
  <c r="EH42" i="2"/>
  <c r="EJ43" i="2"/>
  <c r="EH38" i="2"/>
  <c r="EJ38" i="2" s="1"/>
  <c r="DV38" i="2"/>
  <c r="AN59" i="2"/>
  <c r="AP58" i="2"/>
  <c r="DH18" i="2"/>
  <c r="DT18" i="2"/>
  <c r="CF15" i="2"/>
  <c r="DT21" i="2"/>
  <c r="DH21" i="2"/>
  <c r="DT19" i="2"/>
  <c r="DF15" i="2"/>
  <c r="EG22" i="2"/>
  <c r="EJ22" i="2" s="1"/>
  <c r="DV22" i="2"/>
  <c r="DD14" i="2"/>
  <c r="DD54" i="2" s="1"/>
  <c r="DD58" i="2" s="1"/>
  <c r="DD59" i="2" s="1"/>
  <c r="DT31" i="2"/>
  <c r="DH31" i="2"/>
  <c r="DF30" i="2"/>
  <c r="DH30" i="2" s="1"/>
  <c r="DH19" i="2"/>
  <c r="EG23" i="2"/>
  <c r="EJ23" i="2" s="1"/>
  <c r="DV23" i="2"/>
  <c r="DG20" i="2"/>
  <c r="DG15" i="2" s="1"/>
  <c r="CT20" i="2"/>
  <c r="DU19" i="2"/>
  <c r="EF25" i="2"/>
  <c r="EJ25" i="2" s="1"/>
  <c r="DV25" i="2"/>
  <c r="EG19" i="2"/>
  <c r="DS15" i="2"/>
  <c r="EI32" i="2"/>
  <c r="DU30" i="2"/>
  <c r="DV32" i="2"/>
  <c r="EH28" i="2"/>
  <c r="DT26" i="2"/>
  <c r="DV28" i="2"/>
  <c r="DU26" i="2"/>
  <c r="EI27" i="2"/>
  <c r="DV27" i="2"/>
  <c r="DH26" i="2"/>
  <c r="BQ59" i="2"/>
  <c r="EG26" i="2"/>
  <c r="I5" i="3" l="1"/>
  <c r="DR14" i="2"/>
  <c r="DR54" i="2" s="1"/>
  <c r="DR58" i="2" s="1"/>
  <c r="DR59" i="2" s="1"/>
  <c r="CT41" i="2"/>
  <c r="AP59" i="2"/>
  <c r="CT57" i="2"/>
  <c r="DH7" i="2"/>
  <c r="DH8" i="2" s="1"/>
  <c r="DH9" i="2" s="1"/>
  <c r="DH11" i="2" s="1"/>
  <c r="CT35" i="2"/>
  <c r="EG7" i="2"/>
  <c r="EG9" i="2" s="1"/>
  <c r="EG11" i="2" s="1"/>
  <c r="EG57" i="2" s="1"/>
  <c r="DS9" i="2"/>
  <c r="DS11" i="2" s="1"/>
  <c r="DS57" i="2" s="1"/>
  <c r="DU7" i="2"/>
  <c r="DG9" i="2"/>
  <c r="DG11" i="2" s="1"/>
  <c r="DG57" i="2" s="1"/>
  <c r="DF9" i="2"/>
  <c r="DF11" i="2" s="1"/>
  <c r="DF57" i="2" s="1"/>
  <c r="DT7" i="2"/>
  <c r="CF14" i="2"/>
  <c r="BR59" i="2"/>
  <c r="BR54" i="2"/>
  <c r="BR58" i="2"/>
  <c r="EG50" i="2"/>
  <c r="EG49" i="2" s="1"/>
  <c r="EG41" i="2" s="1"/>
  <c r="DS49" i="2"/>
  <c r="DS41" i="2" s="1"/>
  <c r="DU50" i="2"/>
  <c r="DG49" i="2"/>
  <c r="DG41" i="2" s="1"/>
  <c r="DT50" i="2"/>
  <c r="DF49" i="2"/>
  <c r="DF41" i="2" s="1"/>
  <c r="EF49" i="2"/>
  <c r="EF41" i="2" s="1"/>
  <c r="DE54" i="2"/>
  <c r="DE58" i="2" s="1"/>
  <c r="DE59" i="2" s="1"/>
  <c r="CD54" i="2"/>
  <c r="DH50" i="2"/>
  <c r="CT49" i="2"/>
  <c r="I9" i="3" s="1"/>
  <c r="CR14" i="2"/>
  <c r="CR54" i="2" s="1"/>
  <c r="BD58" i="2"/>
  <c r="BB59" i="2"/>
  <c r="EG36" i="2"/>
  <c r="EG35" i="2" s="1"/>
  <c r="DS35" i="2"/>
  <c r="DS14" i="2" s="1"/>
  <c r="DG35" i="2"/>
  <c r="DG14" i="2" s="1"/>
  <c r="DU36" i="2"/>
  <c r="DT36" i="2"/>
  <c r="DF35" i="2"/>
  <c r="DF14" i="2" s="1"/>
  <c r="DH36" i="2"/>
  <c r="EJ51" i="2"/>
  <c r="EJ42" i="2"/>
  <c r="L8" i="3" s="1"/>
  <c r="EG15" i="2"/>
  <c r="DV18" i="2"/>
  <c r="EH18" i="2"/>
  <c r="EJ18" i="2" s="1"/>
  <c r="EI19" i="2"/>
  <c r="DV19" i="2"/>
  <c r="DU20" i="2"/>
  <c r="DH20" i="2"/>
  <c r="DV31" i="2"/>
  <c r="DT30" i="2"/>
  <c r="DV30" i="2" s="1"/>
  <c r="EH31" i="2"/>
  <c r="EH19" i="2"/>
  <c r="DT15" i="2"/>
  <c r="DH15" i="2"/>
  <c r="EH21" i="2"/>
  <c r="EJ21" i="2" s="1"/>
  <c r="DV21" i="2"/>
  <c r="EF15" i="2"/>
  <c r="EI30" i="2"/>
  <c r="EJ32" i="2"/>
  <c r="EI26" i="2"/>
  <c r="EJ27" i="2"/>
  <c r="DV26" i="2"/>
  <c r="EJ28" i="2"/>
  <c r="EH26" i="2"/>
  <c r="H6" i="3" l="1"/>
  <c r="H7" i="3" s="1"/>
  <c r="H11" i="3" s="1"/>
  <c r="J5" i="3"/>
  <c r="DH41" i="2"/>
  <c r="BD59" i="2"/>
  <c r="DH57" i="2"/>
  <c r="DV7" i="2"/>
  <c r="DV8" i="2" s="1"/>
  <c r="DV9" i="2" s="1"/>
  <c r="DV11" i="2" s="1"/>
  <c r="DU9" i="2"/>
  <c r="DU11" i="2" s="1"/>
  <c r="DU57" i="2" s="1"/>
  <c r="EI7" i="2"/>
  <c r="EI9" i="2" s="1"/>
  <c r="EI11" i="2" s="1"/>
  <c r="EI57" i="2" s="1"/>
  <c r="EH7" i="2"/>
  <c r="DT9" i="2"/>
  <c r="DT11" i="2" s="1"/>
  <c r="DT57" i="2" s="1"/>
  <c r="DG54" i="2"/>
  <c r="DG58" i="2" s="1"/>
  <c r="DH35" i="2"/>
  <c r="CT14" i="2"/>
  <c r="EH50" i="2"/>
  <c r="DT49" i="2"/>
  <c r="DT41" i="2" s="1"/>
  <c r="CD58" i="2"/>
  <c r="CF54" i="2"/>
  <c r="EI50" i="2"/>
  <c r="EI49" i="2" s="1"/>
  <c r="EI41" i="2" s="1"/>
  <c r="DU49" i="2"/>
  <c r="DU41" i="2" s="1"/>
  <c r="DH49" i="2"/>
  <c r="J9" i="3" s="1"/>
  <c r="DS54" i="2"/>
  <c r="DS58" i="2" s="1"/>
  <c r="DS59" i="2" s="1"/>
  <c r="DV50" i="2"/>
  <c r="CS54" i="2"/>
  <c r="CS58" i="2" s="1"/>
  <c r="CS59" i="2" s="1"/>
  <c r="EG14" i="2"/>
  <c r="EG54" i="2" s="1"/>
  <c r="EG58" i="2" s="1"/>
  <c r="EG59" i="2" s="1"/>
  <c r="DV36" i="2"/>
  <c r="EI36" i="2"/>
  <c r="EI35" i="2" s="1"/>
  <c r="DU35" i="2"/>
  <c r="DT35" i="2"/>
  <c r="DT14" i="2" s="1"/>
  <c r="EH36" i="2"/>
  <c r="EH35" i="2" s="1"/>
  <c r="DH14" i="2"/>
  <c r="CR58" i="2"/>
  <c r="EI20" i="2"/>
  <c r="EJ20" i="2" s="1"/>
  <c r="DV20" i="2"/>
  <c r="EJ19" i="2"/>
  <c r="EH15" i="2"/>
  <c r="DU15" i="2"/>
  <c r="EF14" i="2"/>
  <c r="EF54" i="2" s="1"/>
  <c r="EF58" i="2" s="1"/>
  <c r="EF59" i="2" s="1"/>
  <c r="EH30" i="2"/>
  <c r="EJ30" i="2" s="1"/>
  <c r="EJ31" i="2"/>
  <c r="EJ26" i="2"/>
  <c r="K5" i="3" l="1"/>
  <c r="J6" i="3"/>
  <c r="J7" i="3" s="1"/>
  <c r="J11" i="3" s="1"/>
  <c r="I6" i="3"/>
  <c r="I7" i="3" s="1"/>
  <c r="I11" i="3" s="1"/>
  <c r="DV41" i="2"/>
  <c r="DV57" i="2"/>
  <c r="EH9" i="2"/>
  <c r="EH11" i="2" s="1"/>
  <c r="EH57" i="2" s="1"/>
  <c r="EJ57" i="2" s="1"/>
  <c r="EJ7" i="2"/>
  <c r="EJ8" i="2" s="1"/>
  <c r="EJ9" i="2" s="1"/>
  <c r="EJ11" i="2" s="1"/>
  <c r="DU14" i="2"/>
  <c r="DV14" i="2" s="1"/>
  <c r="DF54" i="2"/>
  <c r="DF58" i="2" s="1"/>
  <c r="DF59" i="2" s="1"/>
  <c r="DV35" i="2"/>
  <c r="EI15" i="2"/>
  <c r="EI14" i="2" s="1"/>
  <c r="EI54" i="2" s="1"/>
  <c r="CT54" i="2"/>
  <c r="DT54" i="2"/>
  <c r="DT58" i="2" s="1"/>
  <c r="DT59" i="2" s="1"/>
  <c r="CF58" i="2"/>
  <c r="CD59" i="2"/>
  <c r="DV49" i="2"/>
  <c r="K9" i="3" s="1"/>
  <c r="EJ50" i="2"/>
  <c r="EH49" i="2"/>
  <c r="EH41" i="2" s="1"/>
  <c r="EJ41" i="2" s="1"/>
  <c r="EJ35" i="2"/>
  <c r="EJ36" i="2"/>
  <c r="EH14" i="2"/>
  <c r="CR59" i="2"/>
  <c r="CT58" i="2"/>
  <c r="DV15" i="2"/>
  <c r="DG59" i="2"/>
  <c r="L5" i="3" l="1"/>
  <c r="K6" i="3"/>
  <c r="K7" i="3" s="1"/>
  <c r="K11" i="3" s="1"/>
  <c r="CT59" i="2"/>
  <c r="CF59" i="2"/>
  <c r="DH58" i="2"/>
  <c r="DH59" i="2"/>
  <c r="DH54" i="2"/>
  <c r="EJ15" i="2"/>
  <c r="DU54" i="2"/>
  <c r="DU58" i="2" s="1"/>
  <c r="DU59" i="2" s="1"/>
  <c r="EJ49" i="2"/>
  <c r="L9" i="3" s="1"/>
  <c r="EJ14" i="2"/>
  <c r="EI58" i="2"/>
  <c r="L6" i="3" l="1"/>
  <c r="L7" i="3" s="1"/>
  <c r="L11" i="3" s="1"/>
  <c r="DV59" i="2"/>
  <c r="DV58" i="2"/>
  <c r="DV54" i="2"/>
  <c r="EH54" i="2"/>
  <c r="EI59" i="2"/>
  <c r="EH58" i="2" l="1"/>
  <c r="EJ54" i="2"/>
  <c r="P9" i="2"/>
  <c r="P11" i="2" s="1"/>
  <c r="P57" i="2" s="1"/>
  <c r="AB53" i="2"/>
  <c r="AA52" i="2"/>
  <c r="Z52" i="2"/>
  <c r="Y52" i="2"/>
  <c r="X52" i="2"/>
  <c r="W52" i="2"/>
  <c r="V52" i="2"/>
  <c r="U52" i="2"/>
  <c r="T52" i="2"/>
  <c r="S52" i="2"/>
  <c r="R52" i="2"/>
  <c r="Q52" i="2"/>
  <c r="P52" i="2"/>
  <c r="AB51" i="2"/>
  <c r="AB50" i="2"/>
  <c r="AA49" i="2"/>
  <c r="Z49" i="2"/>
  <c r="Y49" i="2"/>
  <c r="X49" i="2"/>
  <c r="W49" i="2"/>
  <c r="V49" i="2"/>
  <c r="U49" i="2"/>
  <c r="T49" i="2"/>
  <c r="S49" i="2"/>
  <c r="R49" i="2"/>
  <c r="Q49" i="2"/>
  <c r="P49" i="2"/>
  <c r="AB48" i="2"/>
  <c r="AB47" i="2"/>
  <c r="AB46" i="2"/>
  <c r="AB45" i="2"/>
  <c r="AB44" i="2"/>
  <c r="AB43" i="2"/>
  <c r="AA42" i="2"/>
  <c r="Z42" i="2"/>
  <c r="Y42" i="2"/>
  <c r="X42" i="2"/>
  <c r="W42" i="2"/>
  <c r="V42" i="2"/>
  <c r="U42" i="2"/>
  <c r="T42" i="2"/>
  <c r="S42" i="2"/>
  <c r="R42" i="2"/>
  <c r="Q42" i="2"/>
  <c r="P42" i="2"/>
  <c r="AB40" i="2"/>
  <c r="AB39" i="2"/>
  <c r="AB38" i="2"/>
  <c r="AB37" i="2"/>
  <c r="AB36" i="2"/>
  <c r="AA35" i="2"/>
  <c r="Z35" i="2"/>
  <c r="Y35" i="2"/>
  <c r="X35" i="2"/>
  <c r="W35" i="2"/>
  <c r="V35" i="2"/>
  <c r="U35" i="2"/>
  <c r="T35" i="2"/>
  <c r="S35" i="2"/>
  <c r="R35" i="2"/>
  <c r="Q35" i="2"/>
  <c r="P35" i="2"/>
  <c r="AB34" i="2"/>
  <c r="AB33" i="2"/>
  <c r="AB32" i="2"/>
  <c r="AB31" i="2"/>
  <c r="AA30" i="2"/>
  <c r="Z30" i="2"/>
  <c r="Y30" i="2"/>
  <c r="X30" i="2"/>
  <c r="W30" i="2"/>
  <c r="V30" i="2"/>
  <c r="U30" i="2"/>
  <c r="T30" i="2"/>
  <c r="S30" i="2"/>
  <c r="R30" i="2"/>
  <c r="Q30" i="2"/>
  <c r="P30" i="2"/>
  <c r="AB29" i="2"/>
  <c r="AB28" i="2"/>
  <c r="AB27" i="2"/>
  <c r="AA26" i="2"/>
  <c r="Z26" i="2"/>
  <c r="Y26" i="2"/>
  <c r="X26" i="2"/>
  <c r="W26" i="2"/>
  <c r="V26" i="2"/>
  <c r="U26" i="2"/>
  <c r="T26" i="2"/>
  <c r="S26" i="2"/>
  <c r="R26" i="2"/>
  <c r="Q26" i="2"/>
  <c r="P26" i="2"/>
  <c r="AB25" i="2"/>
  <c r="AB24" i="2"/>
  <c r="AB23" i="2"/>
  <c r="AB22" i="2"/>
  <c r="AB21" i="2"/>
  <c r="AB20" i="2"/>
  <c r="AB19" i="2"/>
  <c r="AB18" i="2"/>
  <c r="AB17" i="2"/>
  <c r="AB16" i="2"/>
  <c r="AA15" i="2"/>
  <c r="Z15" i="2"/>
  <c r="Y15" i="2"/>
  <c r="X15" i="2"/>
  <c r="W15" i="2"/>
  <c r="V15" i="2"/>
  <c r="U15" i="2"/>
  <c r="T15" i="2"/>
  <c r="S15" i="2"/>
  <c r="R15" i="2"/>
  <c r="Q15" i="2"/>
  <c r="P15" i="2"/>
  <c r="AB10" i="2"/>
  <c r="D10" i="3" s="1"/>
  <c r="AA9" i="2"/>
  <c r="AA11" i="2" s="1"/>
  <c r="AA57" i="2" s="1"/>
  <c r="Z9" i="2"/>
  <c r="Z11" i="2" s="1"/>
  <c r="Z57" i="2" s="1"/>
  <c r="Y9" i="2"/>
  <c r="Y11" i="2" s="1"/>
  <c r="Y57" i="2" s="1"/>
  <c r="X9" i="2"/>
  <c r="X11" i="2" s="1"/>
  <c r="X57" i="2" s="1"/>
  <c r="W9" i="2"/>
  <c r="W11" i="2" s="1"/>
  <c r="W57" i="2" s="1"/>
  <c r="V9" i="2"/>
  <c r="V11" i="2" s="1"/>
  <c r="V57" i="2" s="1"/>
  <c r="U9" i="2"/>
  <c r="U11" i="2" s="1"/>
  <c r="U57" i="2" s="1"/>
  <c r="T9" i="2"/>
  <c r="T11" i="2" s="1"/>
  <c r="T57" i="2" s="1"/>
  <c r="S9" i="2"/>
  <c r="S11" i="2" s="1"/>
  <c r="S57" i="2" s="1"/>
  <c r="R9" i="2"/>
  <c r="R11" i="2" s="1"/>
  <c r="R57" i="2" s="1"/>
  <c r="Q9" i="2"/>
  <c r="Q11" i="2" s="1"/>
  <c r="Q57" i="2" s="1"/>
  <c r="AB7" i="2"/>
  <c r="AB8" i="2" s="1"/>
  <c r="C52" i="2"/>
  <c r="D52" i="2"/>
  <c r="E52" i="2"/>
  <c r="F52" i="2"/>
  <c r="G52" i="2"/>
  <c r="H52" i="2"/>
  <c r="I52" i="2"/>
  <c r="J52" i="2"/>
  <c r="K52" i="2"/>
  <c r="L52" i="2"/>
  <c r="M52" i="2"/>
  <c r="C49" i="2"/>
  <c r="D49" i="2"/>
  <c r="E49" i="2"/>
  <c r="F49" i="2"/>
  <c r="G49" i="2"/>
  <c r="H49" i="2"/>
  <c r="I49" i="2"/>
  <c r="J49" i="2"/>
  <c r="K49" i="2"/>
  <c r="L49" i="2"/>
  <c r="M49" i="2"/>
  <c r="C42" i="2"/>
  <c r="D42" i="2"/>
  <c r="E42" i="2"/>
  <c r="F42" i="2"/>
  <c r="G42" i="2"/>
  <c r="H42" i="2"/>
  <c r="I42" i="2"/>
  <c r="J42" i="2"/>
  <c r="K42" i="2"/>
  <c r="L42" i="2"/>
  <c r="M42" i="2"/>
  <c r="C35" i="2"/>
  <c r="D35" i="2"/>
  <c r="E35" i="2"/>
  <c r="F35" i="2"/>
  <c r="G35" i="2"/>
  <c r="H35" i="2"/>
  <c r="I35" i="2"/>
  <c r="J35" i="2"/>
  <c r="K35" i="2"/>
  <c r="L35" i="2"/>
  <c r="M35" i="2"/>
  <c r="C30" i="2"/>
  <c r="D30" i="2"/>
  <c r="E30" i="2"/>
  <c r="F30" i="2"/>
  <c r="G30" i="2"/>
  <c r="H30" i="2"/>
  <c r="I30" i="2"/>
  <c r="J30" i="2"/>
  <c r="K30" i="2"/>
  <c r="L30" i="2"/>
  <c r="M30" i="2"/>
  <c r="C26" i="2"/>
  <c r="D26" i="2"/>
  <c r="E26" i="2"/>
  <c r="F26" i="2"/>
  <c r="G26" i="2"/>
  <c r="H26" i="2"/>
  <c r="I26" i="2"/>
  <c r="J26" i="2"/>
  <c r="K26" i="2"/>
  <c r="L26" i="2"/>
  <c r="M26" i="2"/>
  <c r="C15" i="2"/>
  <c r="D15" i="2"/>
  <c r="E15" i="2"/>
  <c r="F15" i="2"/>
  <c r="G15" i="2"/>
  <c r="H15" i="2"/>
  <c r="I15" i="2"/>
  <c r="J15" i="2"/>
  <c r="K15" i="2"/>
  <c r="L15" i="2"/>
  <c r="M15" i="2"/>
  <c r="N18" i="2"/>
  <c r="N19" i="2"/>
  <c r="N20" i="2"/>
  <c r="N21" i="2"/>
  <c r="N22" i="2"/>
  <c r="N23" i="2"/>
  <c r="N24" i="2"/>
  <c r="N25" i="2"/>
  <c r="N27" i="2"/>
  <c r="N28" i="2"/>
  <c r="N29" i="2"/>
  <c r="N31" i="2"/>
  <c r="N32" i="2"/>
  <c r="N33" i="2"/>
  <c r="N34" i="2"/>
  <c r="N36" i="2"/>
  <c r="N37" i="2"/>
  <c r="N38" i="2"/>
  <c r="N39" i="2"/>
  <c r="N40" i="2"/>
  <c r="N43" i="2"/>
  <c r="N44" i="2"/>
  <c r="N45" i="2"/>
  <c r="N46" i="2"/>
  <c r="N47" i="2"/>
  <c r="N48" i="2"/>
  <c r="N50" i="2"/>
  <c r="N51" i="2"/>
  <c r="N53" i="2"/>
  <c r="N16" i="2"/>
  <c r="N17" i="2"/>
  <c r="B52" i="2"/>
  <c r="B49" i="2"/>
  <c r="B42" i="2"/>
  <c r="B35" i="2"/>
  <c r="B30" i="2"/>
  <c r="B26" i="2"/>
  <c r="AD23" i="1"/>
  <c r="AD22" i="1"/>
  <c r="AD17" i="1"/>
  <c r="AD18" i="1"/>
  <c r="AD19" i="1"/>
  <c r="AD20" i="1"/>
  <c r="AD21" i="1"/>
  <c r="F26" i="1"/>
  <c r="C25" i="4" s="1"/>
  <c r="H26" i="1"/>
  <c r="I26" i="1" s="1"/>
  <c r="F25" i="1"/>
  <c r="C24" i="4" s="1"/>
  <c r="H25" i="1"/>
  <c r="I25" i="1" s="1"/>
  <c r="F24" i="1"/>
  <c r="H24" i="1"/>
  <c r="I24" i="1" s="1"/>
  <c r="F23" i="1"/>
  <c r="C22" i="4" s="1"/>
  <c r="H23" i="1"/>
  <c r="I23" i="1" s="1"/>
  <c r="H8" i="1"/>
  <c r="H9" i="1"/>
  <c r="H10" i="1"/>
  <c r="H11" i="1"/>
  <c r="H12" i="1"/>
  <c r="H13" i="1"/>
  <c r="H14" i="1"/>
  <c r="H15" i="1"/>
  <c r="H16" i="1"/>
  <c r="I16" i="1" s="1"/>
  <c r="H17" i="1"/>
  <c r="I17" i="1" s="1"/>
  <c r="H18" i="1"/>
  <c r="I18" i="1" s="1"/>
  <c r="H19" i="1"/>
  <c r="I19" i="1" s="1"/>
  <c r="H20" i="1"/>
  <c r="I20" i="1" s="1"/>
  <c r="H21" i="1"/>
  <c r="I21" i="1" s="1"/>
  <c r="H22" i="1"/>
  <c r="I22" i="1" s="1"/>
  <c r="H7" i="1"/>
  <c r="F17" i="1"/>
  <c r="C16" i="4" s="1"/>
  <c r="F18" i="1"/>
  <c r="C17" i="4" s="1"/>
  <c r="F19" i="1"/>
  <c r="C18" i="4" s="1"/>
  <c r="F20" i="1"/>
  <c r="C19" i="4" s="1"/>
  <c r="F21" i="1"/>
  <c r="C20" i="4" s="1"/>
  <c r="F22" i="1"/>
  <c r="C21" i="4" s="1"/>
  <c r="C23" i="4" l="1"/>
  <c r="Q41" i="2"/>
  <c r="B41" i="2"/>
  <c r="E41" i="2"/>
  <c r="M41" i="2"/>
  <c r="Y41" i="2"/>
  <c r="U41" i="2"/>
  <c r="T41" i="2"/>
  <c r="L41" i="2"/>
  <c r="D41" i="2"/>
  <c r="I41" i="2"/>
  <c r="P41" i="2"/>
  <c r="X41" i="2"/>
  <c r="H41" i="2"/>
  <c r="Z41" i="2"/>
  <c r="R41" i="2"/>
  <c r="S41" i="2"/>
  <c r="AA41" i="2"/>
  <c r="G41" i="2"/>
  <c r="F41" i="2"/>
  <c r="K41" i="2"/>
  <c r="C41" i="2"/>
  <c r="V41" i="2"/>
  <c r="J41" i="2"/>
  <c r="W41" i="2"/>
  <c r="F19" i="4"/>
  <c r="N19" i="4"/>
  <c r="G19" i="4"/>
  <c r="L19" i="4"/>
  <c r="M19" i="4"/>
  <c r="K19" i="4"/>
  <c r="I19" i="4"/>
  <c r="E19" i="4"/>
  <c r="H19" i="4"/>
  <c r="J19" i="4"/>
  <c r="J18" i="4"/>
  <c r="I18" i="4"/>
  <c r="L18" i="4"/>
  <c r="M18" i="4"/>
  <c r="F18" i="4"/>
  <c r="K18" i="4"/>
  <c r="G18" i="4"/>
  <c r="N18" i="4"/>
  <c r="E18" i="4"/>
  <c r="H18" i="4"/>
  <c r="I24" i="4"/>
  <c r="E24" i="4"/>
  <c r="M24" i="4"/>
  <c r="H24" i="4"/>
  <c r="N24" i="4"/>
  <c r="L24" i="4"/>
  <c r="G24" i="4"/>
  <c r="K24" i="4"/>
  <c r="J24" i="4"/>
  <c r="F24" i="4"/>
  <c r="H25" i="4"/>
  <c r="N25" i="4"/>
  <c r="M25" i="4"/>
  <c r="F25" i="4"/>
  <c r="J25" i="4"/>
  <c r="I25" i="4"/>
  <c r="E25" i="4"/>
  <c r="L25" i="4"/>
  <c r="G25" i="4"/>
  <c r="K25" i="4"/>
  <c r="E22" i="4"/>
  <c r="I16" i="4"/>
  <c r="N16" i="4"/>
  <c r="M16" i="4"/>
  <c r="K16" i="4"/>
  <c r="F16" i="4"/>
  <c r="G16" i="4"/>
  <c r="J16" i="4"/>
  <c r="H16" i="4"/>
  <c r="E16" i="4"/>
  <c r="L16" i="4"/>
  <c r="K21" i="4"/>
  <c r="F21" i="4"/>
  <c r="E21" i="4"/>
  <c r="J21" i="4"/>
  <c r="G21" i="4"/>
  <c r="L21" i="4"/>
  <c r="H21" i="4"/>
  <c r="N21" i="4"/>
  <c r="I21" i="4"/>
  <c r="M21" i="4"/>
  <c r="H17" i="4"/>
  <c r="L17" i="4"/>
  <c r="J17" i="4"/>
  <c r="N17" i="4"/>
  <c r="M17" i="4"/>
  <c r="F17" i="4"/>
  <c r="I17" i="4"/>
  <c r="G17" i="4"/>
  <c r="K17" i="4"/>
  <c r="E17" i="4"/>
  <c r="M20" i="4"/>
  <c r="J20" i="4"/>
  <c r="F20" i="4"/>
  <c r="L20" i="4"/>
  <c r="E20" i="4"/>
  <c r="H20" i="4"/>
  <c r="N20" i="4"/>
  <c r="I20" i="4"/>
  <c r="K20" i="4"/>
  <c r="G20" i="4"/>
  <c r="E23" i="4"/>
  <c r="EH59" i="2"/>
  <c r="EJ58" i="2"/>
  <c r="AA14" i="2"/>
  <c r="V14" i="2"/>
  <c r="Q14" i="2"/>
  <c r="Y14" i="2"/>
  <c r="S14" i="2"/>
  <c r="N52" i="2"/>
  <c r="C12" i="3" s="1"/>
  <c r="N42" i="2"/>
  <c r="C8" i="3" s="1"/>
  <c r="R14" i="2"/>
  <c r="Z14" i="2"/>
  <c r="U14" i="2"/>
  <c r="N26" i="2"/>
  <c r="AB52" i="2"/>
  <c r="D12" i="3" s="1"/>
  <c r="AB49" i="2"/>
  <c r="D9" i="3" s="1"/>
  <c r="T14" i="2"/>
  <c r="N35" i="2"/>
  <c r="W14" i="2"/>
  <c r="AB30" i="2"/>
  <c r="AB35" i="2"/>
  <c r="I14" i="2"/>
  <c r="AB26" i="2"/>
  <c r="AB42" i="2"/>
  <c r="D8" i="3" s="1"/>
  <c r="G14" i="2"/>
  <c r="AB15" i="2"/>
  <c r="X14" i="2"/>
  <c r="F14" i="2"/>
  <c r="N30" i="2"/>
  <c r="AB57" i="2"/>
  <c r="P14" i="2"/>
  <c r="AB9" i="2"/>
  <c r="AB11" i="2" s="1"/>
  <c r="N49" i="2"/>
  <c r="C9" i="3" s="1"/>
  <c r="K14" i="2"/>
  <c r="C14" i="2"/>
  <c r="J14" i="2"/>
  <c r="E14" i="2"/>
  <c r="L14" i="2"/>
  <c r="D14" i="2"/>
  <c r="M14" i="2"/>
  <c r="H14" i="2"/>
  <c r="N23" i="4" l="1"/>
  <c r="J23" i="4"/>
  <c r="G23" i="4"/>
  <c r="O23" i="4" s="1"/>
  <c r="H23" i="4"/>
  <c r="F23" i="4"/>
  <c r="M23" i="4"/>
  <c r="L23" i="4"/>
  <c r="K23" i="4"/>
  <c r="I23" i="4"/>
  <c r="D5" i="3"/>
  <c r="N41" i="2"/>
  <c r="AB41" i="2"/>
  <c r="EJ59" i="2"/>
  <c r="O17" i="4"/>
  <c r="O19" i="4"/>
  <c r="O24" i="4"/>
  <c r="O25" i="4"/>
  <c r="O20" i="4"/>
  <c r="O18" i="4"/>
  <c r="O21" i="4"/>
  <c r="O16" i="4"/>
  <c r="O22" i="4"/>
  <c r="X54" i="2"/>
  <c r="X58" i="2" s="1"/>
  <c r="X59" i="2" s="1"/>
  <c r="V54" i="2"/>
  <c r="V58" i="2" s="1"/>
  <c r="V59" i="2" s="1"/>
  <c r="Q54" i="2"/>
  <c r="Q58" i="2" s="1"/>
  <c r="Q59" i="2" s="1"/>
  <c r="S54" i="2"/>
  <c r="S58" i="2" s="1"/>
  <c r="S59" i="2" s="1"/>
  <c r="Y54" i="2"/>
  <c r="Y58" i="2" s="1"/>
  <c r="Y59" i="2" s="1"/>
  <c r="AA54" i="2"/>
  <c r="AA58" i="2" s="1"/>
  <c r="AA59" i="2" s="1"/>
  <c r="W54" i="2"/>
  <c r="W58" i="2" s="1"/>
  <c r="W59" i="2" s="1"/>
  <c r="Z54" i="2"/>
  <c r="Z58" i="2" s="1"/>
  <c r="Z59" i="2" s="1"/>
  <c r="R54" i="2"/>
  <c r="R58" i="2" s="1"/>
  <c r="R59" i="2" s="1"/>
  <c r="U54" i="2"/>
  <c r="U58" i="2" s="1"/>
  <c r="U59" i="2" s="1"/>
  <c r="T54" i="2"/>
  <c r="T58" i="2" s="1"/>
  <c r="T59" i="2" s="1"/>
  <c r="L54" i="2"/>
  <c r="J54" i="2"/>
  <c r="F54" i="2"/>
  <c r="K54" i="2"/>
  <c r="C54" i="2"/>
  <c r="M54" i="2"/>
  <c r="H54" i="2"/>
  <c r="D54" i="2"/>
  <c r="G54" i="2"/>
  <c r="E54" i="2"/>
  <c r="I54" i="2"/>
  <c r="P54" i="2"/>
  <c r="AB14" i="2"/>
  <c r="D6" i="3" l="1"/>
  <c r="D7" i="3" s="1"/>
  <c r="D11" i="3" s="1"/>
  <c r="AB54" i="2"/>
  <c r="P58" i="2"/>
  <c r="AB58" i="2" l="1"/>
  <c r="P59" i="2"/>
  <c r="I7" i="1"/>
  <c r="S7" i="1"/>
  <c r="B15" i="2"/>
  <c r="D27" i="4"/>
  <c r="D28" i="4"/>
  <c r="D29" i="4"/>
  <c r="D30" i="4"/>
  <c r="D26" i="4"/>
  <c r="B27" i="4"/>
  <c r="B28" i="4"/>
  <c r="B29" i="4"/>
  <c r="B30" i="4"/>
  <c r="B26" i="4"/>
  <c r="D6" i="4"/>
  <c r="B14" i="2" l="1"/>
  <c r="N15" i="2"/>
  <c r="AB59" i="2"/>
  <c r="N10" i="2" l="1"/>
  <c r="C10" i="3" s="1"/>
  <c r="N7" i="2"/>
  <c r="N8" i="2" s="1"/>
  <c r="N9" i="2" s="1"/>
  <c r="C9" i="2"/>
  <c r="C11" i="2" s="1"/>
  <c r="C57" i="2" s="1"/>
  <c r="D9" i="2"/>
  <c r="D11" i="2" s="1"/>
  <c r="D57" i="2" s="1"/>
  <c r="E9" i="2"/>
  <c r="E11" i="2" s="1"/>
  <c r="E57" i="2" s="1"/>
  <c r="F9" i="2"/>
  <c r="F11" i="2" s="1"/>
  <c r="F57" i="2" s="1"/>
  <c r="G9" i="2"/>
  <c r="G11" i="2" s="1"/>
  <c r="G57" i="2" s="1"/>
  <c r="H9" i="2"/>
  <c r="H11" i="2" s="1"/>
  <c r="H57" i="2" s="1"/>
  <c r="I9" i="2"/>
  <c r="I11" i="2" s="1"/>
  <c r="I57" i="2" s="1"/>
  <c r="J9" i="2"/>
  <c r="J11" i="2" s="1"/>
  <c r="J57" i="2" s="1"/>
  <c r="K9" i="2"/>
  <c r="K11" i="2" s="1"/>
  <c r="K57" i="2" s="1"/>
  <c r="L9" i="2"/>
  <c r="L11" i="2" s="1"/>
  <c r="L57" i="2" s="1"/>
  <c r="M9" i="2"/>
  <c r="M11" i="2" s="1"/>
  <c r="M57" i="2" s="1"/>
  <c r="B9" i="2"/>
  <c r="B11" i="2" s="1"/>
  <c r="B57" i="2" s="1"/>
  <c r="AD8" i="1"/>
  <c r="AD9" i="1"/>
  <c r="AD10" i="1"/>
  <c r="AD11" i="1"/>
  <c r="AD12" i="1"/>
  <c r="AD13" i="1"/>
  <c r="AD14" i="1"/>
  <c r="AD15" i="1"/>
  <c r="AD16" i="1"/>
  <c r="AD7" i="1"/>
  <c r="S8" i="1"/>
  <c r="S9" i="1"/>
  <c r="S10" i="1"/>
  <c r="S11" i="1"/>
  <c r="P8" i="1"/>
  <c r="C27" i="4" s="1"/>
  <c r="P9" i="1"/>
  <c r="C28" i="4" s="1"/>
  <c r="P10" i="1"/>
  <c r="C29" i="4" s="1"/>
  <c r="P11" i="1"/>
  <c r="C30" i="4" s="1"/>
  <c r="P7" i="1"/>
  <c r="I8" i="1"/>
  <c r="I9" i="1"/>
  <c r="I10" i="1"/>
  <c r="I11" i="1"/>
  <c r="I12" i="1"/>
  <c r="I13" i="1"/>
  <c r="I14" i="1"/>
  <c r="I15" i="1"/>
  <c r="F8" i="1"/>
  <c r="C7" i="4" s="1"/>
  <c r="F9" i="1"/>
  <c r="C8" i="4" s="1"/>
  <c r="F10" i="1"/>
  <c r="C9" i="4" s="1"/>
  <c r="F11" i="1"/>
  <c r="C10" i="4" s="1"/>
  <c r="F12" i="1"/>
  <c r="C11" i="4" s="1"/>
  <c r="F13" i="1"/>
  <c r="C12" i="4" s="1"/>
  <c r="F14" i="1"/>
  <c r="C13" i="4" s="1"/>
  <c r="F15" i="1"/>
  <c r="C14" i="4" s="1"/>
  <c r="F16" i="1"/>
  <c r="C15" i="4" s="1"/>
  <c r="F7" i="1"/>
  <c r="L13" i="4" l="1"/>
  <c r="E13" i="4"/>
  <c r="F13" i="4"/>
  <c r="G13" i="4"/>
  <c r="I13" i="4"/>
  <c r="H13" i="4"/>
  <c r="M13" i="4"/>
  <c r="K13" i="4"/>
  <c r="N13" i="4"/>
  <c r="J13" i="4"/>
  <c r="M12" i="4"/>
  <c r="L12" i="4"/>
  <c r="F12" i="4"/>
  <c r="N12" i="4"/>
  <c r="E12" i="4"/>
  <c r="J12" i="4"/>
  <c r="H12" i="4"/>
  <c r="K12" i="4"/>
  <c r="I12" i="4"/>
  <c r="G12" i="4"/>
  <c r="K10" i="4"/>
  <c r="N10" i="4"/>
  <c r="M10" i="4"/>
  <c r="H10" i="4"/>
  <c r="I10" i="4"/>
  <c r="F10" i="4"/>
  <c r="G10" i="4"/>
  <c r="E10" i="4"/>
  <c r="L10" i="4"/>
  <c r="J10" i="4"/>
  <c r="I11" i="4"/>
  <c r="G11" i="4"/>
  <c r="H11" i="4"/>
  <c r="E11" i="4"/>
  <c r="L11" i="4"/>
  <c r="J11" i="4"/>
  <c r="N11" i="4"/>
  <c r="K11" i="4"/>
  <c r="F11" i="4"/>
  <c r="M11" i="4"/>
  <c r="H9" i="4"/>
  <c r="J9" i="4"/>
  <c r="L9" i="4"/>
  <c r="N9" i="4"/>
  <c r="I9" i="4"/>
  <c r="G9" i="4"/>
  <c r="F9" i="4"/>
  <c r="M9" i="4"/>
  <c r="K9" i="4"/>
  <c r="E9" i="4"/>
  <c r="I8" i="4"/>
  <c r="E8" i="4"/>
  <c r="K8" i="4"/>
  <c r="M8" i="4"/>
  <c r="J8" i="4"/>
  <c r="H8" i="4"/>
  <c r="G8" i="4"/>
  <c r="F8" i="4"/>
  <c r="N8" i="4"/>
  <c r="L8" i="4"/>
  <c r="J15" i="4"/>
  <c r="E15" i="4"/>
  <c r="N15" i="4"/>
  <c r="L15" i="4"/>
  <c r="G15" i="4"/>
  <c r="F15" i="4"/>
  <c r="M15" i="4"/>
  <c r="H15" i="4"/>
  <c r="K15" i="4"/>
  <c r="I15" i="4"/>
  <c r="M7" i="4"/>
  <c r="H7" i="4"/>
  <c r="J7" i="4"/>
  <c r="L7" i="4"/>
  <c r="N7" i="4"/>
  <c r="G7" i="4"/>
  <c r="F7" i="4"/>
  <c r="I7" i="4"/>
  <c r="K7" i="4"/>
  <c r="E7" i="4"/>
  <c r="N14" i="4"/>
  <c r="F14" i="4"/>
  <c r="E14" i="4"/>
  <c r="K14" i="4"/>
  <c r="H14" i="4"/>
  <c r="M14" i="4"/>
  <c r="L14" i="4"/>
  <c r="G14" i="4"/>
  <c r="I14" i="4"/>
  <c r="J14" i="4"/>
  <c r="L29" i="4"/>
  <c r="M29" i="4"/>
  <c r="F29" i="4"/>
  <c r="N29" i="4"/>
  <c r="E29" i="4"/>
  <c r="G29" i="4"/>
  <c r="H29" i="4"/>
  <c r="I29" i="4"/>
  <c r="J29" i="4"/>
  <c r="K29" i="4"/>
  <c r="F27" i="4"/>
  <c r="N27" i="4"/>
  <c r="E27" i="4"/>
  <c r="G27" i="4"/>
  <c r="H27" i="4"/>
  <c r="I27" i="4"/>
  <c r="J27" i="4"/>
  <c r="K27" i="4"/>
  <c r="L27" i="4"/>
  <c r="M27" i="4"/>
  <c r="K30" i="4"/>
  <c r="L30" i="4"/>
  <c r="M30" i="4"/>
  <c r="F30" i="4"/>
  <c r="N30" i="4"/>
  <c r="E30" i="4"/>
  <c r="H30" i="4"/>
  <c r="G30" i="4"/>
  <c r="I30" i="4"/>
  <c r="J30" i="4"/>
  <c r="M28" i="4"/>
  <c r="F28" i="4"/>
  <c r="N28" i="4"/>
  <c r="E28" i="4"/>
  <c r="G28" i="4"/>
  <c r="H28" i="4"/>
  <c r="I28" i="4"/>
  <c r="J28" i="4"/>
  <c r="K28" i="4"/>
  <c r="L28" i="4"/>
  <c r="L58" i="2"/>
  <c r="L59" i="2" s="1"/>
  <c r="I27" i="1"/>
  <c r="F27" i="1"/>
  <c r="B18" i="3" s="1"/>
  <c r="B21" i="3" s="1"/>
  <c r="B29" i="3" s="1"/>
  <c r="B35" i="3" s="1"/>
  <c r="S12" i="1"/>
  <c r="N57" i="2"/>
  <c r="N11" i="2"/>
  <c r="P12" i="1"/>
  <c r="C26" i="4"/>
  <c r="C6" i="4"/>
  <c r="C5" i="3" l="1"/>
  <c r="O9" i="4"/>
  <c r="O11" i="4"/>
  <c r="O13" i="4"/>
  <c r="O7" i="4"/>
  <c r="O12" i="4"/>
  <c r="O8" i="4"/>
  <c r="O10" i="4"/>
  <c r="O15" i="4"/>
  <c r="O14" i="4"/>
  <c r="O27" i="4"/>
  <c r="O29" i="4"/>
  <c r="K6" i="4"/>
  <c r="L6" i="4"/>
  <c r="L31" i="4" s="1"/>
  <c r="J13" i="3" s="1"/>
  <c r="M6" i="4"/>
  <c r="M31" i="4" s="1"/>
  <c r="K13" i="3" s="1"/>
  <c r="F6" i="4"/>
  <c r="N6" i="4"/>
  <c r="H6" i="4"/>
  <c r="G6" i="4"/>
  <c r="E6" i="4"/>
  <c r="I6" i="4"/>
  <c r="J6" i="4"/>
  <c r="O30" i="4"/>
  <c r="O28" i="4"/>
  <c r="G26" i="4"/>
  <c r="G31" i="4" s="1"/>
  <c r="E13" i="3" s="1"/>
  <c r="H26" i="4"/>
  <c r="I26" i="4"/>
  <c r="J26" i="4"/>
  <c r="L26" i="4"/>
  <c r="K26" i="4"/>
  <c r="K31" i="4" s="1"/>
  <c r="I13" i="3" s="1"/>
  <c r="M26" i="4"/>
  <c r="F26" i="4"/>
  <c r="N26" i="4"/>
  <c r="E26" i="4"/>
  <c r="K58" i="2"/>
  <c r="K59" i="2" s="1"/>
  <c r="G58" i="2"/>
  <c r="G59" i="2" s="1"/>
  <c r="H58" i="2"/>
  <c r="H59" i="2" s="1"/>
  <c r="F58" i="2"/>
  <c r="F59" i="2" s="1"/>
  <c r="J58" i="2"/>
  <c r="J59" i="2" s="1"/>
  <c r="D58" i="2"/>
  <c r="D59" i="2" s="1"/>
  <c r="M58" i="2"/>
  <c r="M59" i="2" s="1"/>
  <c r="I58" i="2"/>
  <c r="I59" i="2" s="1"/>
  <c r="E58" i="2"/>
  <c r="E59" i="2" s="1"/>
  <c r="C31" i="4"/>
  <c r="E16" i="3" l="1"/>
  <c r="E14" i="3"/>
  <c r="E15" i="3" s="1"/>
  <c r="E17" i="3" s="1"/>
  <c r="E21" i="3" s="1"/>
  <c r="E29" i="3" s="1"/>
  <c r="I16" i="3"/>
  <c r="I14" i="3"/>
  <c r="I15" i="3" s="1"/>
  <c r="I17" i="3" s="1"/>
  <c r="I21" i="3" s="1"/>
  <c r="I29" i="3" s="1"/>
  <c r="K16" i="3"/>
  <c r="K14" i="3"/>
  <c r="K15" i="3" s="1"/>
  <c r="K17" i="3" s="1"/>
  <c r="K21" i="3" s="1"/>
  <c r="K29" i="3" s="1"/>
  <c r="J16" i="3"/>
  <c r="J14" i="3"/>
  <c r="J15" i="3" s="1"/>
  <c r="J17" i="3" s="1"/>
  <c r="J21" i="3" s="1"/>
  <c r="J29" i="3" s="1"/>
  <c r="F31" i="4"/>
  <c r="D13" i="3" s="1"/>
  <c r="J31" i="4"/>
  <c r="H13" i="3" s="1"/>
  <c r="I31" i="4"/>
  <c r="G13" i="3" s="1"/>
  <c r="N31" i="4"/>
  <c r="L13" i="3" s="1"/>
  <c r="H31" i="4"/>
  <c r="F13" i="3" s="1"/>
  <c r="C58" i="2"/>
  <c r="C59" i="2" s="1"/>
  <c r="O26" i="4"/>
  <c r="F16" i="3" l="1"/>
  <c r="F14" i="3"/>
  <c r="F15" i="3" s="1"/>
  <c r="F17" i="3" s="1"/>
  <c r="F21" i="3" s="1"/>
  <c r="F29" i="3" s="1"/>
  <c r="D16" i="3"/>
  <c r="D14" i="3"/>
  <c r="D15" i="3" s="1"/>
  <c r="D17" i="3" s="1"/>
  <c r="D21" i="3" s="1"/>
  <c r="D29" i="3" s="1"/>
  <c r="G16" i="3"/>
  <c r="G14" i="3"/>
  <c r="G15" i="3" s="1"/>
  <c r="G17" i="3" s="1"/>
  <c r="G21" i="3" s="1"/>
  <c r="G29" i="3" s="1"/>
  <c r="I31" i="3"/>
  <c r="I30" i="3" s="1"/>
  <c r="I35" i="3"/>
  <c r="I36" i="3" s="1"/>
  <c r="H16" i="3"/>
  <c r="H14" i="3"/>
  <c r="H15" i="3" s="1"/>
  <c r="K31" i="3"/>
  <c r="K30" i="3" s="1"/>
  <c r="K35" i="3"/>
  <c r="K36" i="3" s="1"/>
  <c r="L16" i="3"/>
  <c r="L14" i="3"/>
  <c r="L15" i="3" s="1"/>
  <c r="L17" i="3" s="1"/>
  <c r="L21" i="3" s="1"/>
  <c r="L29" i="3" s="1"/>
  <c r="J31" i="3"/>
  <c r="J30" i="3" s="1"/>
  <c r="J35" i="3"/>
  <c r="J36" i="3" s="1"/>
  <c r="E31" i="3"/>
  <c r="E30" i="3" s="1"/>
  <c r="E35" i="3"/>
  <c r="E36" i="3" s="1"/>
  <c r="N14" i="2"/>
  <c r="B54" i="2"/>
  <c r="N54" i="2" s="1"/>
  <c r="L31" i="3" l="1"/>
  <c r="L30" i="3" s="1"/>
  <c r="L35" i="3"/>
  <c r="L36" i="3" s="1"/>
  <c r="H17" i="3"/>
  <c r="H21" i="3" s="1"/>
  <c r="H29" i="3" s="1"/>
  <c r="D31" i="3"/>
  <c r="D30" i="3" s="1"/>
  <c r="D35" i="3"/>
  <c r="D36" i="3" s="1"/>
  <c r="G31" i="3"/>
  <c r="G30" i="3" s="1"/>
  <c r="G35" i="3"/>
  <c r="G36" i="3" s="1"/>
  <c r="F31" i="3"/>
  <c r="F30" i="3" s="1"/>
  <c r="F35" i="3"/>
  <c r="F36" i="3" s="1"/>
  <c r="C6" i="3"/>
  <c r="C7" i="3" s="1"/>
  <c r="C11" i="3" s="1"/>
  <c r="B58" i="2"/>
  <c r="H31" i="3" l="1"/>
  <c r="H30" i="3" s="1"/>
  <c r="H35" i="3"/>
  <c r="H36" i="3" s="1"/>
  <c r="B59" i="2"/>
  <c r="N58" i="2"/>
  <c r="B60" i="2" l="1"/>
  <c r="C60" i="2" s="1"/>
  <c r="N59" i="2"/>
  <c r="D60" i="2" l="1"/>
  <c r="C61" i="2"/>
  <c r="C62" i="2" s="1"/>
  <c r="B61" i="2"/>
  <c r="B62" i="2" s="1"/>
  <c r="E60" i="2" l="1"/>
  <c r="D61" i="2"/>
  <c r="D62" i="2" s="1"/>
  <c r="F60" i="2" l="1"/>
  <c r="E61" i="2"/>
  <c r="E62" i="2" s="1"/>
  <c r="O6" i="4"/>
  <c r="O31" i="4" s="1"/>
  <c r="E31" i="4"/>
  <c r="C13" i="3" s="1"/>
  <c r="C16" i="3" l="1"/>
  <c r="C14" i="3"/>
  <c r="C15" i="3" s="1"/>
  <c r="C17" i="3" s="1"/>
  <c r="C21" i="3" s="1"/>
  <c r="C29" i="3" s="1"/>
  <c r="G60" i="2"/>
  <c r="F61" i="2"/>
  <c r="F62" i="2" s="1"/>
  <c r="H32" i="3" l="1"/>
  <c r="D32" i="3"/>
  <c r="D59" i="3" s="1"/>
  <c r="M29" i="3"/>
  <c r="C35" i="3"/>
  <c r="C31" i="3"/>
  <c r="M31" i="3" s="1"/>
  <c r="H60" i="2"/>
  <c r="G61" i="2"/>
  <c r="G62" i="2" s="1"/>
  <c r="C30" i="3" l="1"/>
  <c r="M30" i="3" s="1"/>
  <c r="C36" i="3"/>
  <c r="O35" i="3"/>
  <c r="P35" i="3"/>
  <c r="H59" i="3"/>
  <c r="M48" i="3"/>
  <c r="N36" i="3"/>
  <c r="M47" i="3"/>
  <c r="M41" i="3"/>
  <c r="M42" i="3"/>
  <c r="I60" i="2"/>
  <c r="H61" i="2"/>
  <c r="H62" i="2" s="1"/>
  <c r="Q35" i="3" l="1"/>
  <c r="O36" i="3"/>
  <c r="P36" i="3"/>
  <c r="J60" i="2"/>
  <c r="I61" i="2"/>
  <c r="I62" i="2" s="1"/>
  <c r="C37" i="3" l="1"/>
  <c r="C38" i="3" s="1"/>
  <c r="Q36" i="3"/>
  <c r="M37" i="3"/>
  <c r="M38" i="3" s="1"/>
  <c r="G37" i="3"/>
  <c r="G38" i="3" s="1"/>
  <c r="F37" i="3"/>
  <c r="F38" i="3" s="1"/>
  <c r="H37" i="3"/>
  <c r="H38" i="3" s="1"/>
  <c r="J37" i="3"/>
  <c r="J38" i="3" s="1"/>
  <c r="I37" i="3"/>
  <c r="I38" i="3" s="1"/>
  <c r="K37" i="3"/>
  <c r="K38" i="3" s="1"/>
  <c r="L37" i="3"/>
  <c r="L38" i="3" s="1"/>
  <c r="D37" i="3"/>
  <c r="D38" i="3" s="1"/>
  <c r="E37" i="3"/>
  <c r="E38" i="3" s="1"/>
  <c r="N48" i="3"/>
  <c r="O48" i="3" s="1"/>
  <c r="N47" i="3"/>
  <c r="N37" i="3"/>
  <c r="N38" i="3" s="1"/>
  <c r="N42" i="3"/>
  <c r="O42" i="3" s="1"/>
  <c r="N41" i="3"/>
  <c r="K60" i="2"/>
  <c r="J61" i="2"/>
  <c r="J62" i="2" s="1"/>
  <c r="O47" i="3" l="1"/>
  <c r="N49" i="3"/>
  <c r="O49" i="3" s="1"/>
  <c r="O41" i="3"/>
  <c r="N43" i="3"/>
  <c r="O43" i="3" s="1"/>
  <c r="L60" i="2"/>
  <c r="K61" i="2"/>
  <c r="K62" i="2" s="1"/>
  <c r="M60" i="2" l="1"/>
  <c r="L61" i="2"/>
  <c r="L62" i="2" s="1"/>
  <c r="N60" i="2" l="1"/>
  <c r="M61" i="2"/>
  <c r="M62" i="2" s="1"/>
  <c r="N62" i="2" l="1"/>
  <c r="P60" i="2"/>
  <c r="N61" i="2"/>
  <c r="Q60" i="2" l="1"/>
  <c r="P61" i="2"/>
  <c r="P62" i="2" s="1"/>
  <c r="R60" i="2" l="1"/>
  <c r="Q61" i="2"/>
  <c r="Q62" i="2" s="1"/>
  <c r="S60" i="2" l="1"/>
  <c r="R61" i="2"/>
  <c r="R62" i="2" s="1"/>
  <c r="T60" i="2" l="1"/>
  <c r="S61" i="2"/>
  <c r="S62" i="2" s="1"/>
  <c r="U60" i="2" l="1"/>
  <c r="T61" i="2"/>
  <c r="T62" i="2" s="1"/>
  <c r="V60" i="2" l="1"/>
  <c r="U61" i="2"/>
  <c r="U62" i="2" s="1"/>
  <c r="W60" i="2" l="1"/>
  <c r="V61" i="2"/>
  <c r="V62" i="2" s="1"/>
  <c r="X60" i="2" l="1"/>
  <c r="W61" i="2"/>
  <c r="W62" i="2" s="1"/>
  <c r="Y60" i="2" l="1"/>
  <c r="X61" i="2"/>
  <c r="X62" i="2" s="1"/>
  <c r="Z60" i="2" l="1"/>
  <c r="Y61" i="2"/>
  <c r="Y62" i="2" s="1"/>
  <c r="AA60" i="2" l="1"/>
  <c r="Z61" i="2"/>
  <c r="Z62" i="2" s="1"/>
  <c r="AB60" i="2" l="1"/>
  <c r="AA61" i="2"/>
  <c r="AA62" i="2" s="1"/>
  <c r="AB61" i="2" l="1"/>
  <c r="AD60" i="2"/>
  <c r="AB62" i="2"/>
  <c r="AE60" i="2" l="1"/>
  <c r="AD61" i="2"/>
  <c r="AD62" i="2" s="1"/>
  <c r="AF60" i="2" l="1"/>
  <c r="AE61" i="2"/>
  <c r="AE62" i="2" s="1"/>
  <c r="AG60" i="2" l="1"/>
  <c r="AF61" i="2"/>
  <c r="AF62" i="2" s="1"/>
  <c r="AH60" i="2" l="1"/>
  <c r="AG61" i="2"/>
  <c r="AG62" i="2" s="1"/>
  <c r="AI60" i="2" l="1"/>
  <c r="AH61" i="2"/>
  <c r="AH62" i="2" s="1"/>
  <c r="AJ60" i="2" l="1"/>
  <c r="AI61" i="2"/>
  <c r="AI62" i="2" s="1"/>
  <c r="AK60" i="2" l="1"/>
  <c r="AJ61" i="2"/>
  <c r="AJ62" i="2" s="1"/>
  <c r="AL60" i="2" l="1"/>
  <c r="AK61" i="2"/>
  <c r="AK62" i="2" s="1"/>
  <c r="AM60" i="2" l="1"/>
  <c r="AL61" i="2"/>
  <c r="AL62" i="2" s="1"/>
  <c r="AN60" i="2" l="1"/>
  <c r="AM61" i="2"/>
  <c r="AM62" i="2" s="1"/>
  <c r="AO60" i="2" l="1"/>
  <c r="AN61" i="2"/>
  <c r="AN62" i="2" s="1"/>
  <c r="AP60" i="2" l="1"/>
  <c r="AO61" i="2"/>
  <c r="AO62" i="2" s="1"/>
  <c r="AP62" i="2" l="1"/>
  <c r="AR60" i="2"/>
  <c r="AP61" i="2"/>
  <c r="AS60" i="2" l="1"/>
  <c r="AR61" i="2"/>
  <c r="AR62" i="2" s="1"/>
  <c r="AT60" i="2" l="1"/>
  <c r="AS61" i="2"/>
  <c r="AS62" i="2" s="1"/>
  <c r="AU60" i="2" l="1"/>
  <c r="AT61" i="2"/>
  <c r="AT62" i="2" s="1"/>
  <c r="AV60" i="2" l="1"/>
  <c r="AU61" i="2"/>
  <c r="AU62" i="2" s="1"/>
  <c r="AW60" i="2" l="1"/>
  <c r="AV61" i="2"/>
  <c r="AV62" i="2" s="1"/>
  <c r="AX60" i="2" l="1"/>
  <c r="AW61" i="2"/>
  <c r="AW62" i="2" s="1"/>
  <c r="AY60" i="2" l="1"/>
  <c r="AX61" i="2"/>
  <c r="AX62" i="2" s="1"/>
  <c r="AZ60" i="2" l="1"/>
  <c r="AY61" i="2"/>
  <c r="AY62" i="2" s="1"/>
  <c r="BA60" i="2" l="1"/>
  <c r="AZ61" i="2"/>
  <c r="AZ62" i="2" s="1"/>
  <c r="BB60" i="2" l="1"/>
  <c r="BA61" i="2"/>
  <c r="BA62" i="2" s="1"/>
  <c r="BC60" i="2" l="1"/>
  <c r="BB61" i="2"/>
  <c r="BB62" i="2" s="1"/>
  <c r="BD60" i="2" l="1"/>
  <c r="BC61" i="2"/>
  <c r="BC62" i="2" s="1"/>
  <c r="BD62" i="2" l="1"/>
  <c r="BF60" i="2"/>
  <c r="BD61" i="2"/>
  <c r="BG60" i="2" l="1"/>
  <c r="BF61" i="2"/>
  <c r="BF62" i="2" s="1"/>
  <c r="BH60" i="2" l="1"/>
  <c r="BG61" i="2"/>
  <c r="BG62" i="2" s="1"/>
  <c r="BI60" i="2" l="1"/>
  <c r="BH61" i="2"/>
  <c r="BH62" i="2" s="1"/>
  <c r="BJ60" i="2" l="1"/>
  <c r="BI61" i="2"/>
  <c r="BI62" i="2" s="1"/>
  <c r="BK60" i="2" l="1"/>
  <c r="BJ61" i="2"/>
  <c r="BJ62" i="2" s="1"/>
  <c r="BL60" i="2" l="1"/>
  <c r="BK61" i="2"/>
  <c r="BK62" i="2" s="1"/>
  <c r="BM60" i="2" l="1"/>
  <c r="BL61" i="2"/>
  <c r="BL62" i="2" s="1"/>
  <c r="BN60" i="2" l="1"/>
  <c r="BM61" i="2"/>
  <c r="BM62" i="2" s="1"/>
  <c r="BO60" i="2" l="1"/>
  <c r="BN61" i="2"/>
  <c r="BN62" i="2" s="1"/>
  <c r="BP60" i="2" l="1"/>
  <c r="BO61" i="2"/>
  <c r="BO62" i="2" s="1"/>
  <c r="BQ60" i="2" l="1"/>
  <c r="BP61" i="2"/>
  <c r="BP62" i="2" s="1"/>
  <c r="BR60" i="2" l="1"/>
  <c r="BQ61" i="2"/>
  <c r="BQ62" i="2" s="1"/>
  <c r="BR62" i="2" l="1"/>
  <c r="BT60" i="2"/>
  <c r="BR61" i="2"/>
  <c r="BU60" i="2" l="1"/>
  <c r="BT61" i="2"/>
  <c r="BT62" i="2" s="1"/>
  <c r="BV60" i="2" l="1"/>
  <c r="BU61" i="2"/>
  <c r="BU62" i="2" s="1"/>
  <c r="BW60" i="2" l="1"/>
  <c r="BV61" i="2"/>
  <c r="BV62" i="2" s="1"/>
  <c r="BX60" i="2" l="1"/>
  <c r="BW61" i="2"/>
  <c r="BW62" i="2" s="1"/>
  <c r="BY60" i="2" l="1"/>
  <c r="BX61" i="2"/>
  <c r="BX62" i="2" s="1"/>
  <c r="BZ60" i="2" l="1"/>
  <c r="BY61" i="2"/>
  <c r="BY62" i="2" s="1"/>
  <c r="CA60" i="2" l="1"/>
  <c r="BZ61" i="2"/>
  <c r="BZ62" i="2" s="1"/>
  <c r="CB60" i="2" l="1"/>
  <c r="CA61" i="2"/>
  <c r="CA62" i="2" s="1"/>
  <c r="CC60" i="2" l="1"/>
  <c r="CB61" i="2"/>
  <c r="CB62" i="2" s="1"/>
  <c r="CD60" i="2" l="1"/>
  <c r="CC61" i="2"/>
  <c r="CC62" i="2" s="1"/>
  <c r="CE60" i="2" l="1"/>
  <c r="CD61" i="2"/>
  <c r="CD62" i="2" s="1"/>
  <c r="CF60" i="2" l="1"/>
  <c r="CE61" i="2"/>
  <c r="CE62" i="2" s="1"/>
  <c r="CF62" i="2" l="1"/>
  <c r="CH60" i="2"/>
  <c r="CF61" i="2"/>
  <c r="CI60" i="2" l="1"/>
  <c r="CH61" i="2"/>
  <c r="CH62" i="2" s="1"/>
  <c r="CJ60" i="2" l="1"/>
  <c r="CI61" i="2"/>
  <c r="CI62" i="2" s="1"/>
  <c r="CK60" i="2" l="1"/>
  <c r="CJ61" i="2"/>
  <c r="CJ62" i="2" s="1"/>
  <c r="CL60" i="2" l="1"/>
  <c r="CK61" i="2"/>
  <c r="CK62" i="2" s="1"/>
  <c r="CM60" i="2" l="1"/>
  <c r="CL61" i="2"/>
  <c r="CL62" i="2" s="1"/>
  <c r="CN60" i="2" l="1"/>
  <c r="CM61" i="2"/>
  <c r="CM62" i="2" s="1"/>
  <c r="CO60" i="2" l="1"/>
  <c r="CN61" i="2"/>
  <c r="CN62" i="2" s="1"/>
  <c r="CP60" i="2" l="1"/>
  <c r="CO61" i="2"/>
  <c r="CO62" i="2" s="1"/>
  <c r="CQ60" i="2" l="1"/>
  <c r="CP61" i="2"/>
  <c r="CP62" i="2" s="1"/>
  <c r="CR60" i="2" l="1"/>
  <c r="CQ61" i="2"/>
  <c r="CQ62" i="2" s="1"/>
  <c r="CS60" i="2" l="1"/>
  <c r="CR61" i="2"/>
  <c r="CR62" i="2" s="1"/>
  <c r="CT60" i="2" l="1"/>
  <c r="CS61" i="2"/>
  <c r="CS62" i="2" s="1"/>
  <c r="CT62" i="2" l="1"/>
  <c r="CV60" i="2"/>
  <c r="CT61" i="2"/>
  <c r="CW60" i="2" l="1"/>
  <c r="CV61" i="2"/>
  <c r="CV62" i="2" s="1"/>
  <c r="CX60" i="2" l="1"/>
  <c r="CW61" i="2"/>
  <c r="CW62" i="2" s="1"/>
  <c r="CY60" i="2" l="1"/>
  <c r="CX61" i="2"/>
  <c r="CX62" i="2" s="1"/>
  <c r="CZ60" i="2" l="1"/>
  <c r="CY61" i="2"/>
  <c r="CY62" i="2" s="1"/>
  <c r="DA60" i="2" l="1"/>
  <c r="CZ61" i="2"/>
  <c r="CZ62" i="2" s="1"/>
  <c r="DB60" i="2" l="1"/>
  <c r="DA61" i="2"/>
  <c r="DA62" i="2" s="1"/>
  <c r="DC60" i="2" l="1"/>
  <c r="DB61" i="2"/>
  <c r="DB62" i="2" s="1"/>
  <c r="DD60" i="2" l="1"/>
  <c r="DC61" i="2"/>
  <c r="DC62" i="2" s="1"/>
  <c r="DE60" i="2" l="1"/>
  <c r="DD61" i="2"/>
  <c r="DD62" i="2" s="1"/>
  <c r="DF60" i="2" l="1"/>
  <c r="DE61" i="2"/>
  <c r="DE62" i="2" s="1"/>
  <c r="DG60" i="2" l="1"/>
  <c r="DF61" i="2"/>
  <c r="DF62" i="2" s="1"/>
  <c r="DH60" i="2" l="1"/>
  <c r="DG61" i="2"/>
  <c r="DG62" i="2" s="1"/>
  <c r="DH62" i="2" l="1"/>
  <c r="DJ60" i="2"/>
  <c r="DH61" i="2"/>
  <c r="DK60" i="2" l="1"/>
  <c r="DJ61" i="2"/>
  <c r="DJ62" i="2" s="1"/>
  <c r="DL60" i="2" l="1"/>
  <c r="DK61" i="2"/>
  <c r="DK62" i="2" s="1"/>
  <c r="DM60" i="2" l="1"/>
  <c r="DL61" i="2"/>
  <c r="DL62" i="2" s="1"/>
  <c r="DN60" i="2" l="1"/>
  <c r="DM61" i="2"/>
  <c r="DM62" i="2" s="1"/>
  <c r="DO60" i="2" l="1"/>
  <c r="DN61" i="2"/>
  <c r="DN62" i="2" s="1"/>
  <c r="DP60" i="2" l="1"/>
  <c r="DO61" i="2"/>
  <c r="DO62" i="2" s="1"/>
  <c r="DQ60" i="2" l="1"/>
  <c r="DP61" i="2"/>
  <c r="DP62" i="2" s="1"/>
  <c r="DR60" i="2" l="1"/>
  <c r="DQ61" i="2"/>
  <c r="DQ62" i="2" s="1"/>
  <c r="DS60" i="2" l="1"/>
  <c r="DR61" i="2"/>
  <c r="DR62" i="2" s="1"/>
  <c r="DT60" i="2" l="1"/>
  <c r="DS61" i="2"/>
  <c r="DS62" i="2" s="1"/>
  <c r="DU60" i="2" l="1"/>
  <c r="DT61" i="2"/>
  <c r="DT62" i="2" s="1"/>
  <c r="DV60" i="2" l="1"/>
  <c r="DU61" i="2"/>
  <c r="DU62" i="2" s="1"/>
  <c r="DV62" i="2" l="1"/>
  <c r="DX60" i="2"/>
  <c r="DV61" i="2"/>
  <c r="DY60" i="2" l="1"/>
  <c r="DX61" i="2"/>
  <c r="DX62" i="2" s="1"/>
  <c r="DZ60" i="2" l="1"/>
  <c r="DY61" i="2"/>
  <c r="DY62" i="2" s="1"/>
  <c r="EA60" i="2" l="1"/>
  <c r="DZ61" i="2"/>
  <c r="DZ62" i="2" s="1"/>
  <c r="EB60" i="2" l="1"/>
  <c r="EA61" i="2"/>
  <c r="EA62" i="2" s="1"/>
  <c r="EC60" i="2" l="1"/>
  <c r="EB61" i="2"/>
  <c r="EB62" i="2" s="1"/>
  <c r="ED60" i="2" l="1"/>
  <c r="EC61" i="2"/>
  <c r="EC62" i="2" s="1"/>
  <c r="EE60" i="2" l="1"/>
  <c r="ED61" i="2"/>
  <c r="ED62" i="2" s="1"/>
  <c r="EF60" i="2" l="1"/>
  <c r="EE61" i="2"/>
  <c r="EE62" i="2" s="1"/>
  <c r="EG60" i="2" l="1"/>
  <c r="EF61" i="2"/>
  <c r="EF62" i="2" s="1"/>
  <c r="EH60" i="2" l="1"/>
  <c r="EG61" i="2"/>
  <c r="EG62" i="2" s="1"/>
  <c r="EI60" i="2" l="1"/>
  <c r="EH61" i="2"/>
  <c r="EH62" i="2" s="1"/>
  <c r="EJ60" i="2" l="1"/>
  <c r="EJ61" i="2" s="1"/>
  <c r="EI61" i="2"/>
  <c r="EI62" i="2" s="1"/>
  <c r="EJ62" i="2" l="1"/>
  <c r="D11" i="5" l="1"/>
  <c r="D16" i="5" s="1"/>
  <c r="D21" i="5" s="1"/>
  <c r="D26" i="5" s="1"/>
  <c r="D31" i="5" s="1"/>
  <c r="D36" i="5" s="1"/>
</calcChain>
</file>

<file path=xl/sharedStrings.xml><?xml version="1.0" encoding="utf-8"?>
<sst xmlns="http://schemas.openxmlformats.org/spreadsheetml/2006/main" count="1199" uniqueCount="609">
  <si>
    <t>1. Gastos directos</t>
  </si>
  <si>
    <t xml:space="preserve">
Son aquellos que están directamente relacionados con la fabricación del producto o prestación del servicio.</t>
  </si>
  <si>
    <t>2. Gastos indirectos</t>
  </si>
  <si>
    <t xml:space="preserve">
Son aquellos que no están directamente relacionados con la producción, pero son necesarios para el funcionamiento del negocio.</t>
  </si>
  <si>
    <t>3. Gastos fijos</t>
  </si>
  <si>
    <t xml:space="preserve">
Son los gastos que no cambian con el nivel de producción o actividad del negocio. Se mantienen constantes en el corto plazo.</t>
  </si>
  <si>
    <t>4. Gastos variables</t>
  </si>
  <si>
    <t xml:space="preserve">
Son los gastos que fluctúan directamente con el nivel de producción o ventas.</t>
  </si>
  <si>
    <t>5. Gastos administrativos</t>
  </si>
  <si>
    <t xml:space="preserve">
Son los gastos relacionados con la gestión y operación del negocio, que no están vinculados directamente a la producción.</t>
  </si>
  <si>
    <t>6. Gastos financieros</t>
  </si>
  <si>
    <t xml:space="preserve">
Son los costos relacionados con la obtención y uso de recursos financieros.</t>
  </si>
  <si>
    <t>7. Gastos de ventas</t>
  </si>
  <si>
    <t xml:space="preserve">
Son aquellos que se generan al comercializar y distribuir el producto.</t>
  </si>
  <si>
    <t xml:space="preserve">Balances de requerimientos </t>
  </si>
  <si>
    <t>Activos que se gestionan en el largo plazo (activos fijos) que reptresentan parte de la inversión que se realiza en un primer momento para poder operar durante un periodo de mediano (5 años) o largo plazo (10 años).</t>
  </si>
  <si>
    <t>Activos que se gestionan en el corto plazo (activo circulante) que varían en función del volumen de producción y que pueden fluctuar durante periodos cortos de tiempo, por ejemplo en negocios que se caracterizan por ser estacionales)</t>
  </si>
  <si>
    <t>BALANCE DE MAQUINARIA Y EQUIPO</t>
  </si>
  <si>
    <t>BALANCE DE OBRA FÍSICA</t>
  </si>
  <si>
    <t>BALANCE DE PERSONAL</t>
  </si>
  <si>
    <t>BALANCE DE INSUMOS</t>
  </si>
  <si>
    <t>Clasificación</t>
  </si>
  <si>
    <t>ITEM</t>
  </si>
  <si>
    <t>Cantidad</t>
  </si>
  <si>
    <t>Costo unitario</t>
  </si>
  <si>
    <t>Costo total</t>
  </si>
  <si>
    <t>Vida útil</t>
  </si>
  <si>
    <t>Valor de liquidación</t>
  </si>
  <si>
    <t>Ingreso total</t>
  </si>
  <si>
    <t>Unidad de medida</t>
  </si>
  <si>
    <t>Cantidad (dimensión)</t>
  </si>
  <si>
    <t>Valor residual</t>
  </si>
  <si>
    <t>Puesto</t>
  </si>
  <si>
    <t>Sueldo mensual</t>
  </si>
  <si>
    <t>MATERIAL</t>
  </si>
  <si>
    <t>Total</t>
  </si>
  <si>
    <t>Sierra de mesa o sierra circular industrial</t>
  </si>
  <si>
    <t xml:space="preserve">Local o bodega </t>
  </si>
  <si>
    <t>m2 (200)</t>
  </si>
  <si>
    <t>Carpintero</t>
  </si>
  <si>
    <t>Madera</t>
  </si>
  <si>
    <t>Metro</t>
  </si>
  <si>
    <t>Sierra ingleteadora</t>
  </si>
  <si>
    <t>Baños</t>
  </si>
  <si>
    <t>m2 (4)</t>
  </si>
  <si>
    <t xml:space="preserve">Operador de maquinaria </t>
  </si>
  <si>
    <t>MDF (Fibra densidad media)</t>
  </si>
  <si>
    <t>Router o fresadora de madera</t>
  </si>
  <si>
    <t xml:space="preserve">Cocina </t>
  </si>
  <si>
    <t xml:space="preserve">m2 (20) </t>
  </si>
  <si>
    <t xml:space="preserve">Técnico de mantenimiento </t>
  </si>
  <si>
    <t xml:space="preserve">Pegamento </t>
  </si>
  <si>
    <t xml:space="preserve">Litro </t>
  </si>
  <si>
    <t>Lijadora de banda y disco</t>
  </si>
  <si>
    <t xml:space="preserve">Almacén </t>
  </si>
  <si>
    <t>m2 (100)</t>
  </si>
  <si>
    <t xml:space="preserve">Técnico en acabados </t>
  </si>
  <si>
    <t>Clavos</t>
  </si>
  <si>
    <t>Kg</t>
  </si>
  <si>
    <t>Compresor de aire con pistola de clavado</t>
  </si>
  <si>
    <t xml:space="preserve">Terreno </t>
  </si>
  <si>
    <t>m2 (400)</t>
  </si>
  <si>
    <t xml:space="preserve">Inspector de calidad </t>
  </si>
  <si>
    <t xml:space="preserve">Grapas </t>
  </si>
  <si>
    <t>Prensas de ensamblaje</t>
  </si>
  <si>
    <t>Supervisor de producción</t>
  </si>
  <si>
    <t>Lija</t>
  </si>
  <si>
    <t>Paquete (10)</t>
  </si>
  <si>
    <t>Cabina de pintura o barnizado</t>
  </si>
  <si>
    <t>Asistente administrativo</t>
  </si>
  <si>
    <t>Pintura o barniz</t>
  </si>
  <si>
    <t>Equipo de pulido y cepillado</t>
  </si>
  <si>
    <t>Encargado de ventas y distribución</t>
  </si>
  <si>
    <t xml:space="preserve">Rollo de latex </t>
  </si>
  <si>
    <t>Pieza</t>
  </si>
  <si>
    <t>Calibrador y escuadras de precisión</t>
  </si>
  <si>
    <t>Personal de limpieza</t>
  </si>
  <si>
    <t>Prime o sellador de madera</t>
  </si>
  <si>
    <t>Mesas de trabajo</t>
  </si>
  <si>
    <t xml:space="preserve">Diseñador gráfico </t>
  </si>
  <si>
    <t xml:space="preserve">Cartón para embalaje </t>
  </si>
  <si>
    <t>Estantes y racks</t>
  </si>
  <si>
    <t>Administrador</t>
  </si>
  <si>
    <t>Soporte para colgar marco</t>
  </si>
  <si>
    <t>Paquete (100)</t>
  </si>
  <si>
    <t>Sistema de aspiración de polvo</t>
  </si>
  <si>
    <t xml:space="preserve">Contador </t>
  </si>
  <si>
    <t>Tornillos para soporte</t>
  </si>
  <si>
    <t>Caja (100)</t>
  </si>
  <si>
    <t>Computadora con software de diseño</t>
  </si>
  <si>
    <t xml:space="preserve">Luz (promedio mensual) </t>
  </si>
  <si>
    <t xml:space="preserve">Recibo </t>
  </si>
  <si>
    <t>Impresora o plotter de gran formato</t>
  </si>
  <si>
    <t xml:space="preserve">Combustible </t>
  </si>
  <si>
    <t xml:space="preserve">Escritorio </t>
  </si>
  <si>
    <t>Internet/telefonía (cuota mensual)</t>
  </si>
  <si>
    <t xml:space="preserve">Silla de oficina </t>
  </si>
  <si>
    <t>Papelería (material predeterminado)</t>
  </si>
  <si>
    <t>Paquete</t>
  </si>
  <si>
    <t xml:space="preserve">Vehículo compacto </t>
  </si>
  <si>
    <t>Material de limpieza (material predeterminado)</t>
  </si>
  <si>
    <t xml:space="preserve">Vehículo de carga </t>
  </si>
  <si>
    <t xml:space="preserve"> </t>
  </si>
  <si>
    <t>Pantalla 55 pulgadas</t>
  </si>
  <si>
    <t xml:space="preserve">Soporte para pantalla </t>
  </si>
  <si>
    <t>Equipo</t>
  </si>
  <si>
    <t>Esenciales si se usan adhesivos o solventes.</t>
  </si>
  <si>
    <t>Para fijar decoraciones o etiquetas mediante calor.</t>
  </si>
  <si>
    <t>Para herramientas neumáticas o equipos automáticos.</t>
  </si>
  <si>
    <t>Lámparas LED de alta intensidad para las áreas de costura y corte.</t>
  </si>
  <si>
    <t>Selladoras de plástico.</t>
  </si>
  <si>
    <t>Máquinas para empaquetado al vacío si es necesario.</t>
  </si>
  <si>
    <t>Para mover insumos pesados como rollos grandes de tela.</t>
  </si>
  <si>
    <r>
      <t xml:space="preserve">Si deseas optimizar el uso de estos activos, también puedes considerar sistemas de </t>
    </r>
    <r>
      <rPr>
        <b/>
        <sz val="11"/>
        <color theme="1"/>
        <rFont val="Aptos"/>
        <family val="2"/>
      </rPr>
      <t>control digital</t>
    </r>
    <r>
      <rPr>
        <sz val="11"/>
        <color theme="1"/>
        <rFont val="Aptos"/>
        <family val="2"/>
      </rPr>
      <t xml:space="preserve"> o software de gestión de manufactura (ERP) para coordinar las operaciones del negocio. ¿Te gustaría desarrollar un flujo de trabajo o esquema de procesos con estos activos?</t>
    </r>
  </si>
  <si>
    <t>4o</t>
  </si>
  <si>
    <t>Dijiste:</t>
  </si>
  <si>
    <t>dame el precio estimado de cada uno de esos activos en pesos mexicanos</t>
  </si>
  <si>
    <t>ChatGPT dijo:</t>
  </si>
  <si>
    <t>ChatGPT</t>
  </si>
  <si>
    <t>Búsqueda realizada en 4 sitios</t>
  </si>
  <si>
    <t>Aquí tienes un estimado de precios para algunos de los activos fijos mencionados para un negocio de producción de mochilas escolares en México:</t>
  </si>
  <si>
    <t>Maquinaria y equipo</t>
  </si>
  <si>
    <r>
      <t>1. Máquinas de coser industriales rectas</t>
    </r>
    <r>
      <rPr>
        <sz val="11"/>
        <color theme="1"/>
        <rFont val="Aptos"/>
        <family val="2"/>
      </rPr>
      <t>:</t>
    </r>
  </si>
  <si>
    <t>Desde $8,000 hasta $36,000 MXN dependiendo de las funciones, marcas (como Juki, Zoje, Siruba) y grado de automatización​</t>
  </si>
  <si>
    <t>Hogar Mexicano</t>
  </si>
  <si>
    <t>​</t>
  </si>
  <si>
    <t>Maquinas De Coser</t>
  </si>
  <si>
    <t>.</t>
  </si>
  <si>
    <r>
      <t>2. Máquinas overlock industriales</t>
    </r>
    <r>
      <rPr>
        <sz val="11"/>
        <color theme="1"/>
        <rFont val="Aptos"/>
        <family val="2"/>
      </rPr>
      <t>:</t>
    </r>
  </si>
  <si>
    <t>Precios en el rango de $10,000 a $25,000 MXN, ideales para acabados profesionales en textiles​</t>
  </si>
  <si>
    <r>
      <t>3. Mesas de corte con cortadoras textiles</t>
    </r>
    <r>
      <rPr>
        <sz val="11"/>
        <color theme="1"/>
        <rFont val="Aptos"/>
        <family val="2"/>
      </rPr>
      <t>:</t>
    </r>
  </si>
  <si>
    <t>Una mesa básica puede costar $5,000 a $15,000 MXN, mientras que las cortadoras eléctricas están entre $6,000 y $15,000 MXN dependiendo de la capacidad y funcionalidad​</t>
  </si>
  <si>
    <r>
      <t>4. Máquinas bordadoras</t>
    </r>
    <r>
      <rPr>
        <sz val="11"/>
        <color theme="1"/>
        <rFont val="Aptos"/>
        <family val="2"/>
      </rPr>
      <t>:</t>
    </r>
  </si>
  <si>
    <t>Los precios oscilan entre $20,000 y $60,000 MXN según el número de cabezales y funciones computarizadas​</t>
  </si>
  <si>
    <r>
      <t>5. Planchas industriales de vapor</t>
    </r>
    <r>
      <rPr>
        <sz val="11"/>
        <color theme="1"/>
        <rFont val="Aptos"/>
        <family val="2"/>
      </rPr>
      <t>:</t>
    </r>
  </si>
  <si>
    <t>Desde $3,000 hasta $15,000 MXN dependiendo del tamaño y capacidad​</t>
  </si>
  <si>
    <t>Casa Diaz</t>
  </si>
  <si>
    <t>Equipos auxiliares</t>
  </si>
  <si>
    <r>
      <t>1. Carros transportadores</t>
    </r>
    <r>
      <rPr>
        <sz val="11"/>
        <color theme="1"/>
        <rFont val="Aptos"/>
        <family val="2"/>
      </rPr>
      <t>:</t>
    </r>
  </si>
  <si>
    <t>Alrededor de $1,500 a $4,000 MXN por unidad.</t>
  </si>
  <si>
    <r>
      <t>2. Maniquíes para pruebas</t>
    </r>
    <r>
      <rPr>
        <sz val="11"/>
        <color theme="1"/>
        <rFont val="Aptos"/>
        <family val="2"/>
      </rPr>
      <t>:</t>
    </r>
  </si>
  <si>
    <t>Entre $1,000 y $3,500 MXN cada uno, dependiendo del diseño y material.</t>
  </si>
  <si>
    <r>
      <t>3. Racks o estanterías</t>
    </r>
    <r>
      <rPr>
        <sz val="11"/>
        <color theme="1"/>
        <rFont val="Aptos"/>
        <family val="2"/>
      </rPr>
      <t>:</t>
    </r>
  </si>
  <si>
    <t>Un rango de $2,000 a $8,000 MXN por unidad, dependiendo del tamaño y resistencia.</t>
  </si>
  <si>
    <r>
      <t>4. Equipo de iluminación especializado</t>
    </r>
    <r>
      <rPr>
        <sz val="11"/>
        <color theme="1"/>
        <rFont val="Aptos"/>
        <family val="2"/>
      </rPr>
      <t>:</t>
    </r>
  </si>
  <si>
    <t>Las lámparas LED industriales rondan entre $1,000 y $3,000 MXN cada una.</t>
  </si>
  <si>
    <t>Equipo de oficina</t>
  </si>
  <si>
    <r>
      <t>1. Computadoras con software de diseño</t>
    </r>
    <r>
      <rPr>
        <sz val="11"/>
        <color theme="1"/>
        <rFont val="Aptos"/>
        <family val="2"/>
      </rPr>
      <t>:</t>
    </r>
  </si>
  <si>
    <t>Desde $15,000 hasta $30,000 MXN según las especificaciones necesarias para diseño textil.</t>
  </si>
  <si>
    <r>
      <t>2. Impresoras de patrones o plotters</t>
    </r>
    <r>
      <rPr>
        <sz val="11"/>
        <color theme="1"/>
        <rFont val="Aptos"/>
        <family val="2"/>
      </rPr>
      <t>:</t>
    </r>
  </si>
  <si>
    <t>Precios aproximados de $20,000 a $50,000 MXN dependiendo de la capacidad​</t>
  </si>
  <si>
    <t>Estos precios son estimados y pueden variar dependiendo de las marcas, modelos y proveedores. Si necesitas más detalles específicos sobre cada equipo, puedo ayudarte a buscar opciones más concretas.</t>
  </si>
  <si>
    <t>cual es el volumen de producción que se puede lograr con esta capacidad intalada</t>
  </si>
  <si>
    <t>El volumen de producción que puedes alcanzar con la capacidad instalada descrita dependerá de factores como:</t>
  </si>
  <si>
    <r>
      <t>1. El tipo y modelo de maquinaria adquirida</t>
    </r>
    <r>
      <rPr>
        <sz val="11"/>
        <color theme="1"/>
        <rFont val="Aptos"/>
        <family val="2"/>
      </rPr>
      <t>: La velocidad y automatización de las máquinas de coser, bordar y cortar afectan la cantidad de piezas producidas. Por ejemplo:</t>
    </r>
  </si>
  <si>
    <r>
      <t xml:space="preserve">Una máquina de coser industrial recta puede producir entre </t>
    </r>
    <r>
      <rPr>
        <b/>
        <sz val="11"/>
        <color theme="1"/>
        <rFont val="Aptos"/>
        <family val="2"/>
      </rPr>
      <t>60 y 120 piezas por día</t>
    </r>
    <r>
      <rPr>
        <sz val="11"/>
        <color theme="1"/>
        <rFont val="Aptos"/>
        <family val="2"/>
      </rPr>
      <t>, dependiendo de la complejidad del diseño.</t>
    </r>
  </si>
  <si>
    <r>
      <t xml:space="preserve">Las bordadoras computarizadas con varios cabezales pueden procesar entre </t>
    </r>
    <r>
      <rPr>
        <b/>
        <sz val="11"/>
        <color theme="1"/>
        <rFont val="Aptos"/>
        <family val="2"/>
      </rPr>
      <t>20 y 50 bordados al día por cabeza</t>
    </r>
    <r>
      <rPr>
        <sz val="11"/>
        <color theme="1"/>
        <rFont val="Aptos"/>
        <family val="2"/>
      </rPr>
      <t>, dependiendo del tamaño y detalle del bordado.</t>
    </r>
  </si>
  <si>
    <r>
      <t>2. El flujo de trabajo y personal</t>
    </r>
    <r>
      <rPr>
        <sz val="11"/>
        <color theme="1"/>
        <rFont val="Aptos"/>
        <family val="2"/>
      </rPr>
      <t>:</t>
    </r>
  </si>
  <si>
    <t>Una línea de producción bien organizada puede reducir tiempos muertos y aumentar el rendimiento.</t>
  </si>
  <si>
    <r>
      <t xml:space="preserve">Con 5-10 operarios bien entrenados y un flujo eficiente, podrías alcanzar un rango de </t>
    </r>
    <r>
      <rPr>
        <b/>
        <sz val="11"/>
        <color theme="1"/>
        <rFont val="Aptos"/>
        <family val="2"/>
      </rPr>
      <t>200-500 mochilas por día</t>
    </r>
    <r>
      <rPr>
        <sz val="11"/>
        <color theme="1"/>
        <rFont val="Aptos"/>
        <family val="2"/>
      </rPr>
      <t>, dependiendo del diseño y tipo de mochila.</t>
    </r>
  </si>
  <si>
    <r>
      <t>3. Materiales y complejidad de las mochilas</t>
    </r>
    <r>
      <rPr>
        <sz val="11"/>
        <color theme="1"/>
        <rFont val="Aptos"/>
        <family val="2"/>
      </rPr>
      <t>:</t>
    </r>
  </si>
  <si>
    <r>
      <t>Modelos básicos</t>
    </r>
    <r>
      <rPr>
        <sz val="11"/>
        <color theme="1"/>
        <rFont val="Aptos"/>
        <family val="2"/>
      </rPr>
      <t xml:space="preserve"> (sin muchos compartimientos ni accesorios) pueden lograrse en mayor volumen.</t>
    </r>
  </si>
  <si>
    <r>
      <t>Modelos personalizados o con múltiples componentes</t>
    </r>
    <r>
      <rPr>
        <sz val="11"/>
        <color theme="1"/>
        <rFont val="Aptos"/>
        <family val="2"/>
      </rPr>
      <t xml:space="preserve"> (bordados, estampados, cierres complejos) reducen el volumen de producción.</t>
    </r>
  </si>
  <si>
    <r>
      <t>4. Jornadas laborales</t>
    </r>
    <r>
      <rPr>
        <sz val="11"/>
        <color theme="1"/>
        <rFont val="Aptos"/>
        <family val="2"/>
      </rPr>
      <t>:</t>
    </r>
  </si>
  <si>
    <t>Jornadas extendidas o turnos adicionales pueden incrementar significativamente el volumen diario.</t>
  </si>
  <si>
    <t>Ejemplo práctico</t>
  </si>
  <si>
    <t>Si usas:</t>
  </si>
  <si>
    <t>3 máquinas de coser rectas industriales,</t>
  </si>
  <si>
    <t>2 overlock,</t>
  </si>
  <si>
    <t>1 bordadora de 4 cabezales, y</t>
  </si>
  <si>
    <t>2 operarios por máquina,</t>
  </si>
  <si>
    <r>
      <t>El volumen de producción estimado podría rondar las 300-400 mochilas estándar al día</t>
    </r>
    <r>
      <rPr>
        <sz val="11"/>
        <color theme="1"/>
        <rFont val="Aptos"/>
        <family val="2"/>
      </rPr>
      <t xml:space="preserve"> en un turno de 8 horas, suponiendo diseños simples y operaciones coordinadas.</t>
    </r>
  </si>
  <si>
    <t>¿Te gustaría un esquema más detallado o calcular tiempos para modelos específicos?</t>
  </si>
  <si>
    <t>dame una lista de insumos materiales que se requieren para producir esas mochilas, así como el costo que tiene dicho material</t>
  </si>
  <si>
    <t>Búsqueda realizada en 5 sitios</t>
  </si>
  <si>
    <t>Aquí tienes una lista de los principales insumos materiales necesarios para la producción de mochilas escolares, junto con costos aproximados en pesos mexicanos:</t>
  </si>
  <si>
    <t>Materiales básicos:</t>
  </si>
  <si>
    <r>
      <t>1. Tela principal (poliéster o nylon):</t>
    </r>
    <r>
      <rPr>
        <sz val="11"/>
        <color theme="1"/>
        <rFont val="Aptos"/>
        <family val="2"/>
      </rPr>
      <t xml:space="preserve"> $150 a $250 por metro dependiendo de la calidad y grosor.</t>
    </r>
  </si>
  <si>
    <r>
      <t>2. Forro (non-woven o similar):</t>
    </r>
    <r>
      <rPr>
        <sz val="11"/>
        <color theme="1"/>
        <rFont val="Aptos"/>
        <family val="2"/>
      </rPr>
      <t xml:space="preserve"> $12 a $18 por metro​</t>
    </r>
  </si>
  <si>
    <t>Fabricación Industrial</t>
  </si>
  <si>
    <t>Plastic Flash</t>
  </si>
  <si>
    <r>
      <t>3. Cremalleras (tipo #5 o #8):</t>
    </r>
    <r>
      <rPr>
        <sz val="11"/>
        <color theme="1"/>
        <rFont val="Aptos"/>
        <family val="2"/>
      </rPr>
      <t xml:space="preserve"> $480 a $600 por rollo de 100 metros​</t>
    </r>
  </si>
  <si>
    <r>
      <t>4. Deslizadores para cremalleras:</t>
    </r>
    <r>
      <rPr>
        <sz val="11"/>
        <color theme="1"/>
        <rFont val="Aptos"/>
        <family val="2"/>
      </rPr>
      <t xml:space="preserve"> $350 a $2,200 por paquete dependiendo de la cantidad y calidad​</t>
    </r>
  </si>
  <si>
    <r>
      <t>5. Hebillas de plástico:</t>
    </r>
    <r>
      <rPr>
        <sz val="11"/>
        <color theme="1"/>
        <rFont val="Aptos"/>
        <family val="2"/>
      </rPr>
      <t xml:space="preserve"> $500 a $12,500 por lote según el tamaño y tipo​</t>
    </r>
  </si>
  <si>
    <t>Componentes adicionales:</t>
  </si>
  <si>
    <r>
      <t>6. Cintas ajustables (popotillo o polipropileno):</t>
    </r>
    <r>
      <rPr>
        <sz val="11"/>
        <color theme="1"/>
        <rFont val="Aptos"/>
        <family val="2"/>
      </rPr>
      <t xml:space="preserve"> $90 a $120 por rollo de 50 metros​</t>
    </r>
  </si>
  <si>
    <r>
      <t>7. Foam acolchado (poliéster o EVA):</t>
    </r>
    <r>
      <rPr>
        <sz val="11"/>
        <color theme="1"/>
        <rFont val="Aptos"/>
        <family val="2"/>
      </rPr>
      <t xml:space="preserve"> $250 a $9,500 por paquete según el grosor y cantidad​</t>
    </r>
  </si>
  <si>
    <r>
      <t>8. Malla Sandwich (para la espalda o bolsillos laterales):</t>
    </r>
    <r>
      <rPr>
        <sz val="11"/>
        <color theme="1"/>
        <rFont val="Aptos"/>
        <family val="2"/>
      </rPr>
      <t xml:space="preserve"> $65 por metro​</t>
    </r>
  </si>
  <si>
    <r>
      <t>9. Hilos de alta resistencia:</t>
    </r>
    <r>
      <rPr>
        <sz val="11"/>
        <color theme="1"/>
        <rFont val="Aptos"/>
        <family val="2"/>
      </rPr>
      <t xml:space="preserve"> $45 por carrete​</t>
    </r>
  </si>
  <si>
    <t>Decorativos y accesorios:</t>
  </si>
  <si>
    <r>
      <t>10. Parche o estampados personalizados:</t>
    </r>
    <r>
      <rPr>
        <sz val="11"/>
        <color theme="1"/>
        <rFont val="Aptos"/>
        <family val="2"/>
      </rPr>
      <t xml:space="preserve"> desde $100 por unidad.</t>
    </r>
  </si>
  <si>
    <r>
      <t>11. Etiquetas y accesorios adicionales:</t>
    </r>
    <r>
      <rPr>
        <sz val="11"/>
        <color theme="1"/>
        <rFont val="Aptos"/>
        <family val="2"/>
      </rPr>
      <t xml:space="preserve"> $70 a $300 por lote​</t>
    </r>
  </si>
  <si>
    <t xml:space="preserve">Capital de trabajo </t>
  </si>
  <si>
    <t>Tasa de crecimiento anual de producción</t>
  </si>
  <si>
    <t xml:space="preserve">Tasa de inflación </t>
  </si>
  <si>
    <t>PROGRAMA DE INGRESOS</t>
  </si>
  <si>
    <t>AÑO 1</t>
  </si>
  <si>
    <t>AÑO 2</t>
  </si>
  <si>
    <t>Año 3</t>
  </si>
  <si>
    <t>AÑO 4</t>
  </si>
  <si>
    <t>AÑO 5</t>
  </si>
  <si>
    <t>AÑO 6</t>
  </si>
  <si>
    <t>AÑO 7</t>
  </si>
  <si>
    <t>AÑO 8</t>
  </si>
  <si>
    <t>AÑO 9</t>
  </si>
  <si>
    <t>AÑO 10</t>
  </si>
  <si>
    <t>DESCRIPCIÓN</t>
  </si>
  <si>
    <t>M1</t>
  </si>
  <si>
    <t>M2</t>
  </si>
  <si>
    <t>M3</t>
  </si>
  <si>
    <t>M4</t>
  </si>
  <si>
    <t>M5</t>
  </si>
  <si>
    <t>M6</t>
  </si>
  <si>
    <t>M7</t>
  </si>
  <si>
    <t>M8</t>
  </si>
  <si>
    <t>M9</t>
  </si>
  <si>
    <t>M10</t>
  </si>
  <si>
    <t>M11</t>
  </si>
  <si>
    <t>M12</t>
  </si>
  <si>
    <t>TOTAL</t>
  </si>
  <si>
    <t>W</t>
  </si>
  <si>
    <t>Unidades de producción (Q)</t>
  </si>
  <si>
    <t>Precio de venta (P)</t>
  </si>
  <si>
    <t>Ventas totales (VT)</t>
  </si>
  <si>
    <t>Otros ingresos (OI)</t>
  </si>
  <si>
    <t>Ingresos totales (IT)</t>
  </si>
  <si>
    <t>PROGRAMA DE EGRESOS</t>
  </si>
  <si>
    <t>1. Costo de ventas</t>
  </si>
  <si>
    <t xml:space="preserve">1.1. Material directo </t>
  </si>
  <si>
    <t>MDF</t>
  </si>
  <si>
    <t>Pegamento para madera</t>
  </si>
  <si>
    <t xml:space="preserve">Clavos </t>
  </si>
  <si>
    <t>Tornillos pequeños</t>
  </si>
  <si>
    <t xml:space="preserve">Soporte para colgar marco </t>
  </si>
  <si>
    <t>1.2. Personal  directo (mano de obra)</t>
  </si>
  <si>
    <t xml:space="preserve">Carpintero </t>
  </si>
  <si>
    <t xml:space="preserve">1.3. Material indirecto </t>
  </si>
  <si>
    <t>Rollo de latex</t>
  </si>
  <si>
    <t xml:space="preserve">Material de limpieza </t>
  </si>
  <si>
    <t xml:space="preserve">Luz </t>
  </si>
  <si>
    <t xml:space="preserve">1.4. Personal  indirecto </t>
  </si>
  <si>
    <t>2. Gastos de operación</t>
  </si>
  <si>
    <t xml:space="preserve">2.1. Gastos administrativos </t>
  </si>
  <si>
    <t xml:space="preserve">Administrador </t>
  </si>
  <si>
    <t xml:space="preserve">Caja chica </t>
  </si>
  <si>
    <t xml:space="preserve">2.2. Gastos de ventas </t>
  </si>
  <si>
    <t xml:space="preserve">2.3. Gastos financieros </t>
  </si>
  <si>
    <t xml:space="preserve">Intereses pagados por financiamiento </t>
  </si>
  <si>
    <t>Costos totales (CT)</t>
  </si>
  <si>
    <t>CAPITAL DE TRABAJO</t>
  </si>
  <si>
    <t>Ingreso mensual</t>
  </si>
  <si>
    <t>Egreso mensual</t>
  </si>
  <si>
    <t>Saldo mensual</t>
  </si>
  <si>
    <t>Saldo acumulado</t>
  </si>
  <si>
    <t xml:space="preserve">Programa de depreciaciones </t>
  </si>
  <si>
    <t>TABLA DE DEPRECIACIONES</t>
  </si>
  <si>
    <t xml:space="preserve">Activos </t>
  </si>
  <si>
    <t>Valor de facturación</t>
  </si>
  <si>
    <t>Vida útil en años</t>
  </si>
  <si>
    <t>DEPRECIACIÓN ANUAL</t>
  </si>
  <si>
    <t>DEPRECIACIÓN ACUMULADA</t>
  </si>
  <si>
    <t>AÑO 3</t>
  </si>
  <si>
    <t>Maquinaria y Equipo</t>
  </si>
  <si>
    <t>Obra Física</t>
  </si>
  <si>
    <t>DEPRECIACIÓN ANUAL TOTAL</t>
  </si>
  <si>
    <t>Depre</t>
  </si>
  <si>
    <t xml:space="preserve">Flujo de caja </t>
  </si>
  <si>
    <t xml:space="preserve">Flujo de caja e indicadores financieros </t>
  </si>
  <si>
    <t>FLUJO DE CAJA DEL PROYECTO DE INVERSIÓN</t>
  </si>
  <si>
    <t>Descripción</t>
  </si>
  <si>
    <t>Año 0</t>
  </si>
  <si>
    <t>Año 1</t>
  </si>
  <si>
    <t>Año 2</t>
  </si>
  <si>
    <t>Año 4</t>
  </si>
  <si>
    <t>Año 5</t>
  </si>
  <si>
    <t>Año 6</t>
  </si>
  <si>
    <t>Año 7</t>
  </si>
  <si>
    <t>Año 8</t>
  </si>
  <si>
    <t>Año 9</t>
  </si>
  <si>
    <t>Año 10</t>
  </si>
  <si>
    <t>Ventas</t>
  </si>
  <si>
    <t xml:space="preserve">Costos de ventas </t>
  </si>
  <si>
    <t xml:space="preserve">Utilidad bruta </t>
  </si>
  <si>
    <t xml:space="preserve">Gastos administrativos </t>
  </si>
  <si>
    <t xml:space="preserve">Gastos de ventas </t>
  </si>
  <si>
    <t xml:space="preserve">Otros ingresos </t>
  </si>
  <si>
    <t>Utilidad (pérdida) de operación</t>
  </si>
  <si>
    <t xml:space="preserve">Gastos financieros </t>
  </si>
  <si>
    <t xml:space="preserve">Depreciación de activos </t>
  </si>
  <si>
    <t xml:space="preserve">Utilidad (pérdida) antes de impuestos </t>
  </si>
  <si>
    <t xml:space="preserve">Impuestos a la utilidad </t>
  </si>
  <si>
    <t>Utilidad (perdida) neta</t>
  </si>
  <si>
    <t>Capital de trabajo</t>
  </si>
  <si>
    <t>Flujo de caja del proyecto</t>
  </si>
  <si>
    <t>HOY</t>
  </si>
  <si>
    <t xml:space="preserve">Tasa impositiva de referencia </t>
  </si>
  <si>
    <t>INDICADORES FINANCIEROS</t>
  </si>
  <si>
    <t xml:space="preserve">Año </t>
  </si>
  <si>
    <t>Flujo anual</t>
  </si>
  <si>
    <t>Rentabilidad exigida</t>
  </si>
  <si>
    <t>Recuperación de inversión</t>
  </si>
  <si>
    <t xml:space="preserve">Tasa libre de riesgo +prima de riesgo+prima de liquidez </t>
  </si>
  <si>
    <t>INDEX</t>
  </si>
  <si>
    <t>Valor Actual Neto (VAN)</t>
  </si>
  <si>
    <t>Tasa Interna de Retorno (TIR)</t>
  </si>
  <si>
    <t xml:space="preserve">Tasa de Descuento (r) </t>
  </si>
  <si>
    <t>TMAR</t>
  </si>
  <si>
    <t xml:space="preserve">TLR=inflación + itasa de interés real </t>
  </si>
  <si>
    <t xml:space="preserve">Promedio </t>
  </si>
  <si>
    <t>Des.Est.</t>
  </si>
  <si>
    <t xml:space="preserve">Coef. Var. </t>
  </si>
  <si>
    <t>Flujo de caja anual</t>
  </si>
  <si>
    <t>Tasa Descuento</t>
  </si>
  <si>
    <t>TIR</t>
  </si>
  <si>
    <t>Rendimiento anual sobre la inversión</t>
  </si>
  <si>
    <t>Rendimientos normalizados</t>
  </si>
  <si>
    <t xml:space="preserve">Probabilidad </t>
  </si>
  <si>
    <t>Cuando la Tasa de descuento &gt; TIR</t>
  </si>
  <si>
    <t>x</t>
  </si>
  <si>
    <t>Px</t>
  </si>
  <si>
    <t>P ~ (x)</t>
  </si>
  <si>
    <t>Rendimiento mínimo</t>
  </si>
  <si>
    <t xml:space="preserve">Análisis de sensibilidad </t>
  </si>
  <si>
    <t xml:space="preserve">Matriz de sensibilidad </t>
  </si>
  <si>
    <t>Variación de cuenta</t>
  </si>
  <si>
    <t>EO</t>
  </si>
  <si>
    <t>EN</t>
  </si>
  <si>
    <t>EP</t>
  </si>
  <si>
    <t xml:space="preserve">Precio </t>
  </si>
  <si>
    <t>Mdf</t>
  </si>
  <si>
    <t>Preio de venta (P)</t>
  </si>
  <si>
    <t xml:space="preserve">Personal </t>
  </si>
  <si>
    <t>Reporte financiero - KIMBERLY - CLARK DE MEXICO, S.A.B. DE C.V.</t>
  </si>
  <si>
    <t>CLAVE</t>
  </si>
  <si>
    <t>TEXTO</t>
  </si>
  <si>
    <t>R_2020</t>
  </si>
  <si>
    <t>R_2021</t>
  </si>
  <si>
    <t>R_2022</t>
  </si>
  <si>
    <t>R_2023</t>
  </si>
  <si>
    <t>Estado de Resultados</t>
  </si>
  <si>
    <t/>
  </si>
  <si>
    <t>Ingresos</t>
  </si>
  <si>
    <t>Costo de ventas</t>
  </si>
  <si>
    <t>Utilidad bruta</t>
  </si>
  <si>
    <t>Gastos de venta</t>
  </si>
  <si>
    <t>Gastos de administración</t>
  </si>
  <si>
    <t>Otros ingresos</t>
  </si>
  <si>
    <t>Otros gastos</t>
  </si>
  <si>
    <t>Ingresos financieros</t>
  </si>
  <si>
    <t>Gastos financieros</t>
  </si>
  <si>
    <t>Participación en la utilidad (pérdida) de asociadas y negocios conjuntos</t>
  </si>
  <si>
    <t>Utilidad (pérdida) antes de impuestos</t>
  </si>
  <si>
    <t>Impuestos a la utilidad</t>
  </si>
  <si>
    <t>Utilidad (pérdida) de operaciones continuas</t>
  </si>
  <si>
    <t>Utilidad (pérdida) de operaciones discontinuadas</t>
  </si>
  <si>
    <t>Utilidad (pérdida) neta</t>
  </si>
  <si>
    <t>Utilidad (pérdida), atribuible a [sinopsis]</t>
  </si>
  <si>
    <t>Utilidad (pérdida) atribuible a la participación controladora</t>
  </si>
  <si>
    <t>Utilidad (pérdida) atribuible a la participación no controladora</t>
  </si>
  <si>
    <t>Utilidad por acción [bloque de texto]</t>
  </si>
  <si>
    <t>Utilidad por acción [sinopsis]</t>
  </si>
  <si>
    <t>Utilidad por acción [partidas]</t>
  </si>
  <si>
    <t>Utilidad por acción básica [sinopsis]</t>
  </si>
  <si>
    <t>Utilidad (pérdida) básica por acción en operaciones continuas</t>
  </si>
  <si>
    <t>Utilidad (pérdida) básica por acción en operaciones discontinuadas</t>
  </si>
  <si>
    <t>Total utilidad (pérdida) básica por acción</t>
  </si>
  <si>
    <t>Utilidad por acción diluida [sinopsis]</t>
  </si>
  <si>
    <t>Utilidad (pérdida) básica por acción diluida en operaciones continuas</t>
  </si>
  <si>
    <t>Utilidad (pérdida) básica por acción diluida en operaciones discontinuadas</t>
  </si>
  <si>
    <t>Total utilidad (pérdida) básica por acción diluida</t>
  </si>
  <si>
    <t>Balance General</t>
  </si>
  <si>
    <t>Activos</t>
  </si>
  <si>
    <t>Activo circulante (sinopsis)</t>
  </si>
  <si>
    <t>Efectivo y equivalentes de efectivo</t>
  </si>
  <si>
    <t>Clientes y otras cuentas por cobrar</t>
  </si>
  <si>
    <t>Impuestos por recuperar</t>
  </si>
  <si>
    <t>Otros activos financieros</t>
  </si>
  <si>
    <t>Inventarios</t>
  </si>
  <si>
    <t>Activos biológicos</t>
  </si>
  <si>
    <t>Otros activos no financieros</t>
  </si>
  <si>
    <t>Total activos circulantes distintos de los activos no circulantes o grupo de activos para su disposición clasificados como mantenidos para la venta</t>
  </si>
  <si>
    <t>Activos mantenidos para la venta</t>
  </si>
  <si>
    <t>Total de activos circulantes</t>
  </si>
  <si>
    <t>Activos no circulantes [sinopsis]</t>
  </si>
  <si>
    <t>Clientes y otras cuentas por cobrar no circulantes</t>
  </si>
  <si>
    <t>Impuestos por recuperar no circulantes</t>
  </si>
  <si>
    <t>Inventarios no circulantes</t>
  </si>
  <si>
    <t>Activos biológicos no circulantes</t>
  </si>
  <si>
    <t>Otros activos financieros no circulantes</t>
  </si>
  <si>
    <t>Inversiones registradas por método de participación</t>
  </si>
  <si>
    <t>Inversiones en subsidiarias, negocios conjuntos y asociadas</t>
  </si>
  <si>
    <t>Propiedades, planta y equipo</t>
  </si>
  <si>
    <t>Propiedades de inversión</t>
  </si>
  <si>
    <t>Activos por derechos de uso</t>
  </si>
  <si>
    <t>Crédito mercantil</t>
  </si>
  <si>
    <t>Activos intangibles distintos al crédito mercantil</t>
  </si>
  <si>
    <t>Activos por impuestos diferidos</t>
  </si>
  <si>
    <t>Otros activos no financieros no circulantes</t>
  </si>
  <si>
    <t>Pasivos por arrendamientos a largo plazo</t>
  </si>
  <si>
    <t>Total de activos no circulantes</t>
  </si>
  <si>
    <t>Total de activos</t>
  </si>
  <si>
    <t>Capital Contable y Pasivos [sinopsis]</t>
  </si>
  <si>
    <t>Pasivos [sinopsis]</t>
  </si>
  <si>
    <t>Pasivos Circulantes [sinopsis]</t>
  </si>
  <si>
    <t>Proveedores y otras cuentas por pagar a corto plazo</t>
  </si>
  <si>
    <t>Impuestos por pagar a corto plazo</t>
  </si>
  <si>
    <t>Otros pasivos financieros a corto plazo</t>
  </si>
  <si>
    <t>Pasivos por arrendamientos a corto plazo</t>
  </si>
  <si>
    <t>Otros pasivos no financieros a corto plazo</t>
  </si>
  <si>
    <t>Provisiones circulantes [sinopsis]</t>
  </si>
  <si>
    <t>Provisiones por beneficios a los empleados a corto plazo</t>
  </si>
  <si>
    <t>Otras provisiones a corto plazo</t>
  </si>
  <si>
    <t>Total provisiones circulantes</t>
  </si>
  <si>
    <t>Total de pasivos circulantes distintos de los pasivos atribuibles a activos mantenidos para la venta</t>
  </si>
  <si>
    <t>Pasivos atribuibles a activos mantenidos para la venta</t>
  </si>
  <si>
    <t>Total de pasivos circulantes</t>
  </si>
  <si>
    <t>Pasivos a largo plazo [sinopsis]</t>
  </si>
  <si>
    <t>Proveedores y otras cuentas por pagar a largo plazo</t>
  </si>
  <si>
    <t>Impuestos por pagar a largo plazo</t>
  </si>
  <si>
    <t>Otros pasivos financieros a largo plazo</t>
  </si>
  <si>
    <t>Otros pasivos no financieros a largo plazo</t>
  </si>
  <si>
    <t>Provisiones a largo plazo [sinopsis]</t>
  </si>
  <si>
    <t>Provisiones por beneficios a los empleados a Largo plazo</t>
  </si>
  <si>
    <t>Otras provisiones a largo plazo</t>
  </si>
  <si>
    <t>Total provisiones a largo plazo</t>
  </si>
  <si>
    <t>Pasivo por impuestos diferidos</t>
  </si>
  <si>
    <t>Total de pasivos a Largo plazo</t>
  </si>
  <si>
    <t>Total pasivos</t>
  </si>
  <si>
    <t>Capital Contable [sinopsis]</t>
  </si>
  <si>
    <t>Capital social</t>
  </si>
  <si>
    <t>Prima en emisión de acciones</t>
  </si>
  <si>
    <t>Acciones en tesorería</t>
  </si>
  <si>
    <t>Utilidades acumuladas</t>
  </si>
  <si>
    <t>Otros resultados integrales acumulados</t>
  </si>
  <si>
    <t>Total de la participación controladora</t>
  </si>
  <si>
    <t>Participación no controladora</t>
  </si>
  <si>
    <t>Total de capital contable</t>
  </si>
  <si>
    <t>Total de capital contable y pasivos</t>
  </si>
  <si>
    <t>Flujo de Efectivo</t>
  </si>
  <si>
    <t>Ajustes para conciliar la utilidad (pérdida) [sinopsis]</t>
  </si>
  <si>
    <t>Operaciones discontinuas</t>
  </si>
  <si>
    <t>Ingresos y gastos financieros, neto</t>
  </si>
  <si>
    <t>Gastos de depreciación y amortización</t>
  </si>
  <si>
    <t>Deterioro de valor (reversiones de pérdidas por deterioro de valor) reconocidas en el resultado del periodo</t>
  </si>
  <si>
    <t>Provisiones</t>
  </si>
  <si>
    <t>Pérdida (utilidad) de moneda extranjera no realizadas</t>
  </si>
  <si>
    <t>Pagos basados en acciones</t>
  </si>
  <si>
    <t>Pérdida (utilidad) del valor razonable</t>
  </si>
  <si>
    <t>Utilidades no distribuidas de asociadas</t>
  </si>
  <si>
    <t>Pérdida (utilidad) por la disposición de activos no circulantes</t>
  </si>
  <si>
    <t>Participación en asociadas y negocios conjuntos</t>
  </si>
  <si>
    <t>Disminuciones (incrementos) en los inventarios</t>
  </si>
  <si>
    <t>Disminución (incremento) de clientes</t>
  </si>
  <si>
    <t>Disminuciones (incrementos) en otras cuentas por cobrar derivadas de las actividades de operación</t>
  </si>
  <si>
    <t>Incremento (disminución) de proveedores</t>
  </si>
  <si>
    <t>Incrementos (disminuciones) en otras cuentas por pagar derivadas de las actividades de operación</t>
  </si>
  <si>
    <t>Otras partidas distintas al efectivo</t>
  </si>
  <si>
    <t>Otros ajustes para los que los efectos sobre el efectivo son flujos de efectivo de inversión o financiamiento</t>
  </si>
  <si>
    <t>Ajuste lineal de ingresos por arrendamientos</t>
  </si>
  <si>
    <t>Amortización de comisiones por arrendamiento</t>
  </si>
  <si>
    <t>Ajuste por valor de las propiedades</t>
  </si>
  <si>
    <t>Otros ajustes para conciliar la utilidad (pérdida)</t>
  </si>
  <si>
    <t>Total ajustes para conciliar la utilidad (pérdida)</t>
  </si>
  <si>
    <t>Flujos de efectivo netos procedentes (utilizados en) operaciones</t>
  </si>
  <si>
    <t>Dividendos pagados</t>
  </si>
  <si>
    <t>Dividendos recibidos</t>
  </si>
  <si>
    <t>Intereses pagados</t>
  </si>
  <si>
    <t>Intereses recibidos</t>
  </si>
  <si>
    <t>Impuestos a las utilidades reembolsados (pagados)</t>
  </si>
  <si>
    <t>Otras entradas (salidas) de efectivo</t>
  </si>
  <si>
    <t>Flujos de efectivo netos procedentes de (utilizados en) actividades de operación</t>
  </si>
  <si>
    <t>Flujos de efectivo procedentes de (utilizados en) actividades de inversión [sinopsis]</t>
  </si>
  <si>
    <t>Flujos de efectivo procedentes de la pérdida de control de subsidiarias u otros negocios</t>
  </si>
  <si>
    <t>Flujos de efectivo utilizados para obtener el control de subsidiarias u otros negocios</t>
  </si>
  <si>
    <t>Otros cobros por la venta de capital o instrumentos de deuda de otras entidades</t>
  </si>
  <si>
    <t>Otros pagos para adquirir capital o instrumentos de deuda de otras entidades</t>
  </si>
  <si>
    <t>Otros cobros por la venta de participaciones en negocios conjuntos</t>
  </si>
  <si>
    <t>Otros pagos para adquirir participaciones en negocios conjuntos</t>
  </si>
  <si>
    <t>Importes procedentes de la venta de propiedades, planta y equipo</t>
  </si>
  <si>
    <t>Compras de propiedades, planta y equipo</t>
  </si>
  <si>
    <t>Importes procedentes de ventas de activos intangibles</t>
  </si>
  <si>
    <t>Compras de activos intangibles</t>
  </si>
  <si>
    <t>Recursos por ventas de otros activos a largo plazo</t>
  </si>
  <si>
    <t>Compras de otros activos a largo plazo</t>
  </si>
  <si>
    <t>Importes procedentes de subvenciones del gobierno</t>
  </si>
  <si>
    <t>Anticipos de efectivo y préstamos concedidos a terceros</t>
  </si>
  <si>
    <t>Cobros procedentes del reembolso de anticipos y préstamos concedidos a terceros</t>
  </si>
  <si>
    <t>Pagos derivados de contratos de futuro, a término, de opciones y de permuta financiera</t>
  </si>
  <si>
    <t>Cobros procedentes de contratos de futuro, a término, de opciones y de permuta financiera</t>
  </si>
  <si>
    <t>Intereses cobrados</t>
  </si>
  <si>
    <t>Impuestos a la utilidad reembolsados (pagados)</t>
  </si>
  <si>
    <t>Flujos de efectivo netos procedentes de (utilizados en) actividades de inversión</t>
  </si>
  <si>
    <t>Flujos de efectivo procedentes de (utilizados en) actividades de financiamiento[sinopsis]</t>
  </si>
  <si>
    <t>Importes procedentes por cambios en las participaciones en la propiedad en subsidiarias que no dan lugar a la pérdida de control</t>
  </si>
  <si>
    <t>Pagos por cambios en las participaciones en la propiedad en subsidiarias que no dan lugar a la pérdida de control</t>
  </si>
  <si>
    <t>Importes procedentes de la emisión de acciones</t>
  </si>
  <si>
    <t>Importes procedentes de la emisión de otros instrumentos de capital</t>
  </si>
  <si>
    <t>Pagos por adquirir o rescatar las acciones de la entidad</t>
  </si>
  <si>
    <t>Pagos por otras aportaciones en el capital</t>
  </si>
  <si>
    <t>Importes procedentes de préstamos</t>
  </si>
  <si>
    <t>Reembolsos de préstamos</t>
  </si>
  <si>
    <t>Pagos de pasivos por arrendamientos financieros</t>
  </si>
  <si>
    <t>Pagos de pasivos por arrendamientos</t>
  </si>
  <si>
    <t>Impuestos a las ganancias reembolsados (pagados)</t>
  </si>
  <si>
    <t>Flujos de efectivo netos procedentes de (utilizados en) actividades de financiamiento</t>
  </si>
  <si>
    <t>Incremento (disminución) neto de efectivo y equivalentes al efectivo, antes del efecto de los cambios en la tasa de cambio</t>
  </si>
  <si>
    <t>Efectos de la variación en la tasa de cambio sobre el efectivo y equivalentes al efectivo [sinopsis]</t>
  </si>
  <si>
    <t>Efectos de la variación en la tasa de cambio sobre el efectivo y equivalentes al efectivo</t>
  </si>
  <si>
    <t>Incremento (disminución) neto de efectivo y equivalentes de efectivo</t>
  </si>
  <si>
    <t>Efectivo y equivalentes de efectivo al principio del periodo</t>
  </si>
  <si>
    <t>Efectivo y equivalentes de efectivo al final del periodo</t>
  </si>
  <si>
    <t>EBITDA</t>
  </si>
  <si>
    <t xml:space="preserve">Razones Financieras </t>
  </si>
  <si>
    <t xml:space="preserve">Método de cálculo </t>
  </si>
  <si>
    <t xml:space="preserve">1. Razones de liquidez </t>
  </si>
  <si>
    <t>1.1. Razón circulante o de solvencia</t>
  </si>
  <si>
    <t xml:space="preserve">Activo circulante / Pasivo circulante </t>
  </si>
  <si>
    <t>1.2. Razón de liquidez inmediata (PA)</t>
  </si>
  <si>
    <t xml:space="preserve">(Activo circulante - inventario) / Pasivo circulante </t>
  </si>
  <si>
    <t xml:space="preserve">1.3. Razón de efectivo </t>
  </si>
  <si>
    <t xml:space="preserve">Efectivo / pasivo circulante </t>
  </si>
  <si>
    <t xml:space="preserve">1.4. Capital de trabajo neto a activos totales </t>
  </si>
  <si>
    <t xml:space="preserve">(Activo circulante - Pasivo corto plazo) / activos totales  </t>
  </si>
  <si>
    <t xml:space="preserve">1.5. Medida de intervalo </t>
  </si>
  <si>
    <t xml:space="preserve">Activos circulantes / costos de operación promedio diario </t>
  </si>
  <si>
    <t xml:space="preserve">2. Razones de actividad o rotación de activos </t>
  </si>
  <si>
    <t>2.1. Rotación de inventarios</t>
  </si>
  <si>
    <t xml:space="preserve">Costo de ventas / inventarios </t>
  </si>
  <si>
    <t xml:space="preserve">2.2. Días de venta en inventarios </t>
  </si>
  <si>
    <t xml:space="preserve">365 días / rotación del inventario </t>
  </si>
  <si>
    <t xml:space="preserve">2.3. Rotación de cuentas por cobrar </t>
  </si>
  <si>
    <t xml:space="preserve">Ventas / cuentas por cobrar </t>
  </si>
  <si>
    <t xml:space="preserve">2.4. Dias de venta en cuentas por cobrar </t>
  </si>
  <si>
    <t xml:space="preserve">365 días / rotación de cuentas por cobrar </t>
  </si>
  <si>
    <t xml:space="preserve">2.5. Rotación del capital de trabajo neto </t>
  </si>
  <si>
    <t xml:space="preserve">Ventas / capital de trabajo neto </t>
  </si>
  <si>
    <t>2.6. Rotación de activos fijos</t>
  </si>
  <si>
    <t xml:space="preserve">Ventas / activos fijos netos </t>
  </si>
  <si>
    <t>2.7. Rotación de activos totales</t>
  </si>
  <si>
    <t xml:space="preserve">Ventas / activos totales </t>
  </si>
  <si>
    <t xml:space="preserve">3. Razones de apalancamiento financiero o solvencia a largo plazo </t>
  </si>
  <si>
    <t>3.1. Razón de deuda total  (apalancamiento)</t>
  </si>
  <si>
    <t>Pasivos totales / activos totales</t>
  </si>
  <si>
    <t xml:space="preserve">3.2. Razón de deuda-capital </t>
  </si>
  <si>
    <t xml:space="preserve">Pasivos totales / capital contable </t>
  </si>
  <si>
    <t xml:space="preserve">3.3. Multiplicador del capital </t>
  </si>
  <si>
    <t xml:space="preserve">Activos totales /capital total </t>
  </si>
  <si>
    <t xml:space="preserve">3.4. Razón de deuda a largo plazo </t>
  </si>
  <si>
    <t>Pasivos de largo plazo /(pasivos de largo plazo + capital contable total)</t>
  </si>
  <si>
    <t>3.5. Razón de cobertura de intereses</t>
  </si>
  <si>
    <t xml:space="preserve">UAII / Intereses </t>
  </si>
  <si>
    <t xml:space="preserve">3.6. Razón de cobertura de intereses con el efectivo </t>
  </si>
  <si>
    <t>(UAII + Depreciación) / Intereses</t>
  </si>
  <si>
    <t xml:space="preserve">4. Razones de rentabilidad </t>
  </si>
  <si>
    <t>4.1. Margen de utilidad neta (ROI)</t>
  </si>
  <si>
    <t xml:space="preserve">Utilidad neta / ventas </t>
  </si>
  <si>
    <t>4.2. Rendimiento sobre los activos totales (ROA)</t>
  </si>
  <si>
    <t xml:space="preserve">Utilidad neta / activos totales </t>
  </si>
  <si>
    <t xml:space="preserve">4.3. Rendimiento sobre el capital contable (ROE) </t>
  </si>
  <si>
    <t xml:space="preserve">Utilidad neta / Capital contable total </t>
  </si>
  <si>
    <t>5. Razones de valor de mercado</t>
  </si>
  <si>
    <t xml:space="preserve">5.1. Razón precio - utilidad </t>
  </si>
  <si>
    <t xml:space="preserve">Precio por acción / Utilidad por acción </t>
  </si>
  <si>
    <t xml:space="preserve">5.2. Razón PEG </t>
  </si>
  <si>
    <t>Razón precio - utilidad / Tasa de crecimiento de las utilidades %</t>
  </si>
  <si>
    <t xml:space="preserve">5.3. Razón precio - ventas </t>
  </si>
  <si>
    <t xml:space="preserve">Precio por acción / Ventas por acción </t>
  </si>
  <si>
    <t xml:space="preserve">5.4. Razón de valor de mercado a valor en libros </t>
  </si>
  <si>
    <t xml:space="preserve">Valor de mercado por acción / Valor en libros por acción </t>
  </si>
  <si>
    <t xml:space="preserve">5.5. Rzón Q de Tobin </t>
  </si>
  <si>
    <t xml:space="preserve">Valor de mercado de los activos / Costos de reemplazo de los activos </t>
  </si>
  <si>
    <t>Ciclo de conversión de efectivo (CCC)</t>
  </si>
  <si>
    <t>PPI + PPC - PPP</t>
  </si>
  <si>
    <t>Período promedio de inventarios (PPI)</t>
  </si>
  <si>
    <t>(Promedio de inventarios x 360 )/ Costo de ventas</t>
  </si>
  <si>
    <t>Período promedio de cobranza (PPC)</t>
  </si>
  <si>
    <t xml:space="preserve">(Promedio de cuentas por cobrar x 360) / Ventas totales </t>
  </si>
  <si>
    <t>Período promedio de pago a proveedores (PPP)</t>
  </si>
  <si>
    <t xml:space="preserve">(Promedio de cuentas por pagar x 360) / costo de venta </t>
  </si>
  <si>
    <t>Margen de utilidad neta (ROI)</t>
  </si>
  <si>
    <t>Rendimiento sobre los activos totales (ROA)</t>
  </si>
  <si>
    <t xml:space="preserve">Rendimiento sobre el capital contable (ROE) </t>
  </si>
  <si>
    <t>Costo medio ponderado del capital (WACC)</t>
  </si>
  <si>
    <t>[Pasivos*(tasa de interés/(1-tasa impositiva))]+(Capital contable*TMAR)</t>
  </si>
  <si>
    <t>Rendimiento sobre el capital</t>
  </si>
  <si>
    <t xml:space="preserve">Rendimiento sobre los activos </t>
  </si>
  <si>
    <t xml:space="preserve">Multiplicado por </t>
  </si>
  <si>
    <t xml:space="preserve">Multiplicador del capital </t>
  </si>
  <si>
    <t xml:space="preserve">Margen de utilidad </t>
  </si>
  <si>
    <t xml:space="preserve">Rotación de activos totales </t>
  </si>
  <si>
    <t xml:space="preserve">Utilidad neta </t>
  </si>
  <si>
    <t xml:space="preserve">dividida entre </t>
  </si>
  <si>
    <t xml:space="preserve">Ventas </t>
  </si>
  <si>
    <t xml:space="preserve">Dividido entre </t>
  </si>
  <si>
    <t xml:space="preserve">Activos totales </t>
  </si>
  <si>
    <t xml:space="preserve">Costos totales </t>
  </si>
  <si>
    <t xml:space="preserve">Restados de  </t>
  </si>
  <si>
    <t>Activos fijos</t>
  </si>
  <si>
    <t xml:space="preserve">Más </t>
  </si>
  <si>
    <t xml:space="preserve">Activos circulantes </t>
  </si>
  <si>
    <t xml:space="preserve">Costos de los bienes vendidos </t>
  </si>
  <si>
    <t>d</t>
  </si>
  <si>
    <t>Depreciación</t>
  </si>
  <si>
    <t xml:space="preserve">Efectivo </t>
  </si>
  <si>
    <t xml:space="preserve">Gastos de venta, generales y administrativos </t>
  </si>
  <si>
    <t xml:space="preserve">Intereses </t>
  </si>
  <si>
    <t xml:space="preserve">Cuentas por cobrar </t>
  </si>
  <si>
    <t xml:space="preserve">Impuestos </t>
  </si>
  <si>
    <t xml:space="preserve">Inventario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</si>
</sst>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Red]\-&quot;$&quot;#,##0.00"/>
    <numFmt numFmtId="165" formatCode="_-&quot;$&quot;* #,##0.00_-;\-&quot;$&quot;* #,##0.00_-;_-&quot;$&quot;* &quot;-&quot;??_-;_-@_-"/>
    <numFmt numFmtId="166" formatCode="#,###"/>
    <numFmt numFmtId="167" formatCode="##,##0.00"/>
    <numFmt numFmtId="168" formatCode="0.000000"/>
  </numFmts>
  <fonts count="19">
    <font>
      <sz val="11"/>
      <color theme="1"/>
      <name val="Calibri"/>
      <family val="2"/>
      <scheme val="minor"/>
    </font>
    <font>
      <sz val="8"/>
      <name val="Calibri"/>
      <family val="2"/>
      <scheme val="minor"/>
    </font>
    <font>
      <sz val="11"/>
      <color theme="1"/>
      <name val="Calibri"/>
      <family val="2"/>
      <scheme val="minor"/>
    </font>
    <font>
      <u/>
      <sz val="11"/>
      <color theme="10"/>
      <name val="Calibri"/>
      <family val="2"/>
      <scheme val="minor"/>
    </font>
    <font>
      <sz val="12"/>
      <color theme="1"/>
      <name val="Aptos"/>
      <family val="2"/>
    </font>
    <font>
      <b/>
      <sz val="11"/>
      <color theme="0"/>
      <name val="Aptos"/>
      <family val="2"/>
    </font>
    <font>
      <sz val="11"/>
      <color theme="1"/>
      <name val="Aptos"/>
      <family val="2"/>
    </font>
    <font>
      <b/>
      <sz val="13.5"/>
      <color theme="1"/>
      <name val="Aptos"/>
      <family val="2"/>
    </font>
    <font>
      <b/>
      <sz val="10"/>
      <color theme="1"/>
      <name val="Aptos"/>
      <family val="2"/>
    </font>
    <font>
      <b/>
      <sz val="7.5"/>
      <color theme="1"/>
      <name val="Aptos"/>
      <family val="2"/>
    </font>
    <font>
      <b/>
      <sz val="11"/>
      <color theme="1"/>
      <name val="Aptos"/>
      <family val="2"/>
    </font>
    <font>
      <u/>
      <sz val="11"/>
      <color theme="10"/>
      <name val="Aptos"/>
      <family val="2"/>
    </font>
    <font>
      <sz val="20"/>
      <color theme="1"/>
      <name val="Aptos"/>
      <family val="2"/>
    </font>
    <font>
      <b/>
      <sz val="10"/>
      <color theme="0"/>
      <name val="Aptos"/>
      <family val="2"/>
    </font>
    <font>
      <sz val="11"/>
      <color theme="0"/>
      <name val="Aptos"/>
      <family val="2"/>
    </font>
    <font>
      <sz val="10"/>
      <color theme="1"/>
      <name val="Aptos"/>
      <family val="2"/>
    </font>
    <font>
      <sz val="10"/>
      <color theme="0"/>
      <name val="Aptos"/>
      <family val="2"/>
    </font>
    <font>
      <sz val="8"/>
      <color theme="1"/>
      <name val="Californian FB"/>
      <family val="1"/>
    </font>
    <font>
      <sz val="9"/>
      <color theme="0"/>
      <name val="Aptos"/>
      <family val="2"/>
    </font>
  </fonts>
  <fills count="12">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theme="9"/>
        <bgColor indexed="64"/>
      </patternFill>
    </fill>
    <fill>
      <patternFill patternType="solid">
        <fgColor theme="9" tint="-0.499984740745262"/>
        <bgColor indexed="64"/>
      </patternFill>
    </fill>
    <fill>
      <patternFill patternType="solid">
        <fgColor theme="0" tint="-0.499984740745262"/>
        <bgColor indexed="64"/>
      </patternFill>
    </fill>
    <fill>
      <patternFill patternType="solid">
        <fgColor rgb="FFCCFF99"/>
        <bgColor indexed="64"/>
      </patternFill>
    </fill>
    <fill>
      <patternFill patternType="solid">
        <fgColor theme="0" tint="-4.9989318521683403E-2"/>
        <bgColor indexed="64"/>
      </patternFill>
    </fill>
    <fill>
      <patternFill patternType="solid">
        <fgColor rgb="FF99CC00"/>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165"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cellStyleXfs>
  <cellXfs count="114">
    <xf numFmtId="0" fontId="0" fillId="0" borderId="0" xfId="0"/>
    <xf numFmtId="0" fontId="4" fillId="0" borderId="0" xfId="0" applyFont="1" applyAlignment="1">
      <alignment wrapText="1"/>
    </xf>
    <xf numFmtId="0" fontId="6" fillId="0" borderId="0" xfId="0" applyFont="1"/>
    <xf numFmtId="0" fontId="6" fillId="0" borderId="0" xfId="0" applyFont="1" applyAlignment="1">
      <alignment horizontal="center" vertical="center" wrapText="1"/>
    </xf>
    <xf numFmtId="0" fontId="5" fillId="7" borderId="1" xfId="0" applyFont="1" applyFill="1" applyBorder="1" applyAlignment="1">
      <alignment horizontal="center" vertical="center" wrapText="1"/>
    </xf>
    <xf numFmtId="0" fontId="6" fillId="0" borderId="1" xfId="0" applyFont="1" applyBorder="1"/>
    <xf numFmtId="0" fontId="6" fillId="0" borderId="2" xfId="0" applyFont="1" applyBorder="1"/>
    <xf numFmtId="0" fontId="7" fillId="0" borderId="0" xfId="0" applyFont="1" applyAlignment="1">
      <alignment vertical="center"/>
    </xf>
    <xf numFmtId="0" fontId="6" fillId="0" borderId="0" xfId="0" applyFont="1" applyAlignment="1">
      <alignment horizontal="left" vertical="center" indent="1"/>
    </xf>
    <xf numFmtId="0" fontId="6" fillId="0" borderId="6" xfId="0" applyFont="1" applyBorder="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horizontal="left" vertical="center" indent="1"/>
    </xf>
    <xf numFmtId="0" fontId="6" fillId="0" borderId="0" xfId="0" applyFont="1" applyAlignment="1">
      <alignment horizontal="left" vertical="center" indent="2"/>
    </xf>
    <xf numFmtId="0" fontId="11" fillId="0" borderId="0" xfId="3" applyFont="1" applyAlignment="1">
      <alignment horizontal="left" vertical="center" indent="2"/>
    </xf>
    <xf numFmtId="0" fontId="10" fillId="0" borderId="0" xfId="0" applyFont="1" applyAlignment="1">
      <alignment horizontal="left" vertical="center" indent="2"/>
    </xf>
    <xf numFmtId="0" fontId="10" fillId="0" borderId="0" xfId="0" applyFont="1"/>
    <xf numFmtId="0" fontId="11" fillId="0" borderId="0" xfId="3" applyFont="1" applyAlignment="1">
      <alignment horizontal="left" vertical="center" indent="1"/>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Alignment="1">
      <alignment horizontal="left" vertical="center" wrapText="1"/>
    </xf>
    <xf numFmtId="0" fontId="0" fillId="0" borderId="0" xfId="0" applyAlignment="1">
      <alignment horizontal="left" vertical="center"/>
    </xf>
    <xf numFmtId="165" fontId="6" fillId="0" borderId="0" xfId="1" applyFont="1"/>
    <xf numFmtId="9" fontId="6" fillId="0" borderId="0" xfId="2" applyFont="1"/>
    <xf numFmtId="10" fontId="6" fillId="10" borderId="0" xfId="2" applyNumberFormat="1" applyFont="1" applyFill="1"/>
    <xf numFmtId="165" fontId="5" fillId="2" borderId="0" xfId="1" applyFont="1" applyFill="1" applyAlignment="1">
      <alignment horizontal="center"/>
    </xf>
    <xf numFmtId="165" fontId="10" fillId="0" borderId="0" xfId="1" applyFont="1"/>
    <xf numFmtId="165" fontId="5" fillId="4" borderId="0" xfId="1" applyFont="1" applyFill="1" applyAlignment="1">
      <alignment horizontal="center"/>
    </xf>
    <xf numFmtId="165" fontId="5" fillId="6" borderId="0" xfId="1" applyFont="1" applyFill="1" applyAlignment="1">
      <alignment horizontal="center"/>
    </xf>
    <xf numFmtId="0" fontId="6" fillId="0" borderId="0" xfId="1" applyNumberFormat="1" applyFont="1"/>
    <xf numFmtId="165" fontId="6" fillId="3" borderId="0" xfId="1" applyFont="1" applyFill="1"/>
    <xf numFmtId="165" fontId="6" fillId="0" borderId="0" xfId="1" applyFont="1" applyAlignment="1">
      <alignment horizontal="right"/>
    </xf>
    <xf numFmtId="165" fontId="6" fillId="10" borderId="0" xfId="1" applyFont="1" applyFill="1"/>
    <xf numFmtId="165" fontId="6" fillId="0" borderId="0" xfId="1" applyFont="1" applyAlignment="1">
      <alignment horizontal="left" vertical="center"/>
    </xf>
    <xf numFmtId="9" fontId="6" fillId="8" borderId="0" xfId="2" applyFont="1" applyFill="1"/>
    <xf numFmtId="9" fontId="6" fillId="0" borderId="0" xfId="2" applyFont="1" applyFill="1"/>
    <xf numFmtId="2" fontId="6" fillId="0" borderId="0" xfId="1" applyNumberFormat="1" applyFont="1"/>
    <xf numFmtId="2" fontId="6" fillId="3" borderId="0" xfId="1" applyNumberFormat="1" applyFont="1" applyFill="1"/>
    <xf numFmtId="2" fontId="6" fillId="9" borderId="0" xfId="1" applyNumberFormat="1" applyFont="1" applyFill="1"/>
    <xf numFmtId="2" fontId="5" fillId="6" borderId="0" xfId="1" applyNumberFormat="1" applyFont="1" applyFill="1" applyAlignment="1">
      <alignment horizontal="center"/>
    </xf>
    <xf numFmtId="165" fontId="12" fillId="0" borderId="0" xfId="1" applyFont="1" applyAlignment="1">
      <alignment horizontal="left" vertical="center"/>
    </xf>
    <xf numFmtId="0" fontId="12" fillId="0" borderId="0" xfId="0" applyFont="1"/>
    <xf numFmtId="0" fontId="13" fillId="7" borderId="0" xfId="0" applyFont="1" applyFill="1" applyAlignment="1">
      <alignment horizontal="center" vertical="center"/>
    </xf>
    <xf numFmtId="165" fontId="15" fillId="0" borderId="0" xfId="1" applyFont="1"/>
    <xf numFmtId="0" fontId="15" fillId="0" borderId="0" xfId="0" applyFont="1" applyAlignment="1">
      <alignment horizontal="center"/>
    </xf>
    <xf numFmtId="165" fontId="16" fillId="7" borderId="0" xfId="1" applyFont="1" applyFill="1"/>
    <xf numFmtId="165" fontId="6" fillId="0" borderId="0" xfId="0" applyNumberFormat="1" applyFont="1"/>
    <xf numFmtId="0" fontId="16" fillId="7" borderId="0" xfId="0" applyFont="1" applyFill="1"/>
    <xf numFmtId="165" fontId="16" fillId="7" borderId="0" xfId="0" applyNumberFormat="1" applyFont="1" applyFill="1"/>
    <xf numFmtId="2" fontId="16" fillId="7" borderId="0" xfId="0" applyNumberFormat="1" applyFont="1" applyFill="1" applyAlignment="1">
      <alignment horizontal="center"/>
    </xf>
    <xf numFmtId="0" fontId="6" fillId="0" borderId="5" xfId="0" applyFont="1" applyBorder="1"/>
    <xf numFmtId="0" fontId="17" fillId="9" borderId="0" xfId="0" applyFont="1" applyFill="1"/>
    <xf numFmtId="0" fontId="17" fillId="0" borderId="0" xfId="0" applyFont="1"/>
    <xf numFmtId="0" fontId="5" fillId="7" borderId="0" xfId="0" applyFont="1" applyFill="1" applyAlignment="1">
      <alignment horizontal="center" vertical="center"/>
    </xf>
    <xf numFmtId="165" fontId="6" fillId="0" borderId="0" xfId="1" applyFont="1" applyBorder="1"/>
    <xf numFmtId="165" fontId="6" fillId="0" borderId="0" xfId="1" applyFont="1" applyFill="1" applyBorder="1"/>
    <xf numFmtId="0" fontId="6" fillId="8" borderId="0" xfId="0" applyFont="1" applyFill="1"/>
    <xf numFmtId="165" fontId="5" fillId="5" borderId="0" xfId="1" applyFont="1" applyFill="1" applyAlignment="1">
      <alignment horizontal="center"/>
    </xf>
    <xf numFmtId="165" fontId="5" fillId="0" borderId="0" xfId="1" applyFont="1"/>
    <xf numFmtId="2" fontId="5" fillId="5" borderId="0" xfId="1" applyNumberFormat="1" applyFont="1" applyFill="1" applyAlignment="1">
      <alignment horizontal="center"/>
    </xf>
    <xf numFmtId="164" fontId="6" fillId="0" borderId="0" xfId="0" applyNumberFormat="1" applyFont="1"/>
    <xf numFmtId="0" fontId="5" fillId="7" borderId="0" xfId="0" applyFont="1" applyFill="1" applyAlignment="1">
      <alignment horizontal="center"/>
    </xf>
    <xf numFmtId="10" fontId="6" fillId="0" borderId="0" xfId="0" applyNumberFormat="1" applyFont="1"/>
    <xf numFmtId="0" fontId="6" fillId="0" borderId="0" xfId="0" applyFont="1" applyAlignment="1">
      <alignment wrapText="1"/>
    </xf>
    <xf numFmtId="9" fontId="6" fillId="0" borderId="0" xfId="0" applyNumberFormat="1" applyFont="1"/>
    <xf numFmtId="2" fontId="6" fillId="0" borderId="0" xfId="0" applyNumberFormat="1" applyFont="1"/>
    <xf numFmtId="9" fontId="6" fillId="8" borderId="0" xfId="0" applyNumberFormat="1" applyFont="1" applyFill="1"/>
    <xf numFmtId="10" fontId="6" fillId="8" borderId="0" xfId="0" applyNumberFormat="1" applyFont="1" applyFill="1"/>
    <xf numFmtId="0" fontId="6" fillId="10" borderId="0" xfId="0" applyFont="1" applyFill="1" applyAlignment="1">
      <alignment horizontal="center"/>
    </xf>
    <xf numFmtId="0" fontId="6" fillId="11" borderId="0" xfId="0" applyFont="1" applyFill="1" applyAlignment="1">
      <alignment horizontal="center"/>
    </xf>
    <xf numFmtId="165" fontId="15" fillId="10" borderId="0" xfId="1" applyFont="1" applyFill="1"/>
    <xf numFmtId="0" fontId="6" fillId="0" borderId="0" xfId="1" applyNumberFormat="1" applyFont="1" applyAlignment="1">
      <alignment horizontal="left" wrapText="1"/>
    </xf>
    <xf numFmtId="0" fontId="12" fillId="0" borderId="0" xfId="0" applyFont="1" applyAlignment="1">
      <alignment wrapText="1"/>
    </xf>
    <xf numFmtId="10" fontId="6" fillId="0" borderId="6" xfId="0" applyNumberFormat="1" applyFont="1" applyBorder="1"/>
    <xf numFmtId="0" fontId="6" fillId="0" borderId="0" xfId="1" applyNumberFormat="1" applyFont="1" applyAlignment="1">
      <alignment horizontal="center" vertical="center" wrapText="1"/>
    </xf>
    <xf numFmtId="0" fontId="6" fillId="3" borderId="0" xfId="0" applyFont="1" applyFill="1" applyAlignment="1">
      <alignment horizontal="center" vertical="center"/>
    </xf>
    <xf numFmtId="0" fontId="4" fillId="0" borderId="0" xfId="0" applyFont="1"/>
    <xf numFmtId="0" fontId="4" fillId="0" borderId="0" xfId="0" applyFont="1" applyAlignment="1">
      <alignment horizontal="center"/>
    </xf>
    <xf numFmtId="0" fontId="4" fillId="0" borderId="0" xfId="0" applyFont="1" applyAlignment="1">
      <alignment horizontal="left" indent="2"/>
    </xf>
    <xf numFmtId="0" fontId="4" fillId="0" borderId="0" xfId="0" applyFont="1" applyAlignment="1">
      <alignment horizontal="left" wrapText="1" indent="2"/>
    </xf>
    <xf numFmtId="0" fontId="4" fillId="0" borderId="0" xfId="0" applyFont="1" applyAlignment="1">
      <alignment horizontal="left" vertical="center" indent="2"/>
    </xf>
    <xf numFmtId="0" fontId="4" fillId="0" borderId="0" xfId="0" applyFont="1" applyAlignment="1">
      <alignment horizontal="left" vertical="center" indent="1"/>
    </xf>
    <xf numFmtId="0" fontId="4" fillId="0" borderId="0" xfId="0" applyFont="1" applyAlignment="1">
      <alignment vertical="center"/>
    </xf>
    <xf numFmtId="0" fontId="12" fillId="0" borderId="0" xfId="0" applyFont="1" applyAlignment="1">
      <alignment horizontal="left"/>
    </xf>
    <xf numFmtId="0" fontId="4" fillId="3" borderId="0" xfId="0" applyFont="1" applyFill="1"/>
    <xf numFmtId="0" fontId="4" fillId="10" borderId="0" xfId="0" applyFont="1" applyFill="1"/>
    <xf numFmtId="166" fontId="6" fillId="0" borderId="0" xfId="0" applyNumberFormat="1" applyFont="1"/>
    <xf numFmtId="167" fontId="6" fillId="0" borderId="0" xfId="0" applyNumberFormat="1" applyFont="1"/>
    <xf numFmtId="2" fontId="4" fillId="0" borderId="0" xfId="0" applyNumberFormat="1" applyFont="1"/>
    <xf numFmtId="168" fontId="6" fillId="0" borderId="0" xfId="0" applyNumberFormat="1" applyFont="1"/>
    <xf numFmtId="10" fontId="6" fillId="0" borderId="0" xfId="2" applyNumberFormat="1" applyFont="1" applyBorder="1"/>
    <xf numFmtId="0" fontId="5" fillId="5" borderId="1" xfId="0" applyFont="1" applyFill="1" applyBorder="1" applyAlignment="1">
      <alignment horizontal="center"/>
    </xf>
    <xf numFmtId="0" fontId="5" fillId="5" borderId="3" xfId="0" applyFont="1" applyFill="1" applyBorder="1" applyAlignment="1">
      <alignment horizontal="center"/>
    </xf>
    <xf numFmtId="0" fontId="5" fillId="5" borderId="2" xfId="0" applyFont="1" applyFill="1" applyBorder="1" applyAlignment="1">
      <alignment horizontal="center"/>
    </xf>
    <xf numFmtId="0" fontId="5" fillId="5" borderId="4" xfId="0" applyFont="1" applyFill="1" applyBorder="1" applyAlignment="1">
      <alignment horizontal="center"/>
    </xf>
    <xf numFmtId="0" fontId="4" fillId="8" borderId="7"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4" fillId="8" borderId="9" xfId="0" applyFont="1" applyFill="1" applyBorder="1" applyAlignment="1">
      <alignment horizontal="center" vertical="center" wrapText="1"/>
    </xf>
    <xf numFmtId="0" fontId="4" fillId="8" borderId="7" xfId="0" applyFont="1" applyFill="1" applyBorder="1" applyAlignment="1">
      <alignment horizontal="center" wrapText="1"/>
    </xf>
    <xf numFmtId="0" fontId="4" fillId="8" borderId="8" xfId="0" applyFont="1" applyFill="1" applyBorder="1" applyAlignment="1">
      <alignment horizontal="center" wrapText="1"/>
    </xf>
    <xf numFmtId="0" fontId="4" fillId="8" borderId="9" xfId="0" applyFont="1" applyFill="1" applyBorder="1" applyAlignment="1">
      <alignment horizontal="center" wrapText="1"/>
    </xf>
    <xf numFmtId="165" fontId="5" fillId="5" borderId="0" xfId="1" applyFont="1" applyFill="1" applyAlignment="1">
      <alignment horizontal="center"/>
    </xf>
    <xf numFmtId="0" fontId="14" fillId="7" borderId="0" xfId="0" applyFont="1" applyFill="1" applyAlignment="1">
      <alignment horizontal="center" vertical="center" textRotation="255" wrapText="1"/>
    </xf>
    <xf numFmtId="0" fontId="18" fillId="5" borderId="0" xfId="0" applyFont="1" applyFill="1" applyAlignment="1">
      <alignment horizontal="center" vertical="center" textRotation="255" wrapText="1"/>
    </xf>
    <xf numFmtId="0" fontId="13" fillId="5" borderId="0" xfId="0" applyFont="1" applyFill="1" applyAlignment="1">
      <alignment horizontal="center"/>
    </xf>
    <xf numFmtId="0" fontId="13" fillId="7" borderId="0" xfId="0" applyFont="1" applyFill="1" applyAlignment="1">
      <alignment horizontal="center" vertical="center"/>
    </xf>
    <xf numFmtId="0" fontId="13" fillId="7" borderId="0" xfId="0" applyFont="1" applyFill="1" applyAlignment="1">
      <alignment horizontal="center" vertical="center" wrapText="1"/>
    </xf>
    <xf numFmtId="0" fontId="6" fillId="11" borderId="0" xfId="0" applyFont="1" applyFill="1" applyAlignment="1">
      <alignment horizontal="center"/>
    </xf>
    <xf numFmtId="0" fontId="6" fillId="10" borderId="0" xfId="0" applyFont="1" applyFill="1" applyAlignment="1">
      <alignment horizontal="center"/>
    </xf>
    <xf numFmtId="0" fontId="5" fillId="5" borderId="0" xfId="0" applyFont="1" applyFill="1" applyAlignment="1">
      <alignment horizontal="center" vertical="center"/>
    </xf>
    <xf numFmtId="0" fontId="5" fillId="7" borderId="0" xfId="0" applyFont="1" applyFill="1" applyAlignment="1">
      <alignment horizontal="center" vertical="center"/>
    </xf>
    <xf numFmtId="0" fontId="14" fillId="5" borderId="0" xfId="0" applyFont="1" applyFill="1" applyAlignment="1">
      <alignment horizontal="center"/>
    </xf>
    <xf numFmtId="0" fontId="6" fillId="8" borderId="0" xfId="1" applyNumberFormat="1" applyFont="1" applyFill="1" applyAlignment="1">
      <alignment horizontal="center" vertical="center" wrapText="1"/>
    </xf>
    <xf numFmtId="0" fontId="6" fillId="3" borderId="0" xfId="0" applyFont="1" applyFill="1" applyAlignment="1">
      <alignment horizontal="center"/>
    </xf>
  </cellXfs>
  <cellStyles count="4">
    <cellStyle name="Currency" xfId="1" builtinId="4"/>
    <cellStyle name="Hyperlink" xfId="3" builtinId="8"/>
    <cellStyle name="Normal" xfId="0" builtinId="0"/>
    <cellStyle name="Per cent" xfId="2" builtinId="5"/>
  </cellStyles>
  <dxfs count="1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CC00"/>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21768993871982E-2"/>
          <c:y val="5.2692841845282952E-2"/>
          <c:w val="0.98349787692999002"/>
          <c:h val="0.82177824951135592"/>
        </c:manualLayout>
      </c:layout>
      <c:lineChart>
        <c:grouping val="standard"/>
        <c:varyColors val="0"/>
        <c:ser>
          <c:idx val="0"/>
          <c:order val="0"/>
          <c:tx>
            <c:strRef>
              <c:f>CT!$A$57</c:f>
              <c:strCache>
                <c:ptCount val="1"/>
                <c:pt idx="0">
                  <c:v> Ingreso mensual </c:v>
                </c:pt>
              </c:strCache>
            </c:strRef>
          </c:tx>
          <c:spPr>
            <a:ln w="28575" cap="rnd">
              <a:solidFill>
                <a:schemeClr val="accent2"/>
              </a:solidFill>
              <a:round/>
            </a:ln>
            <a:effectLst/>
          </c:spPr>
          <c:marker>
            <c:symbol val="none"/>
          </c:marker>
          <c:val>
            <c:numRef>
              <c:f>CT!$B$57:$EJ$57</c:f>
              <c:numCache>
                <c:formatCode>_-"$"* #,##0.00_-;\-"$"* #,##0.00_-;_-"$"* "-"??_-;_-@_-</c:formatCode>
                <c:ptCount val="139"/>
                <c:pt idx="0">
                  <c:v>592000</c:v>
                </c:pt>
                <c:pt idx="1">
                  <c:v>592000</c:v>
                </c:pt>
                <c:pt idx="2">
                  <c:v>592000</c:v>
                </c:pt>
                <c:pt idx="3">
                  <c:v>592000</c:v>
                </c:pt>
                <c:pt idx="4">
                  <c:v>592000</c:v>
                </c:pt>
                <c:pt idx="5">
                  <c:v>592000</c:v>
                </c:pt>
                <c:pt idx="6">
                  <c:v>592000</c:v>
                </c:pt>
                <c:pt idx="7">
                  <c:v>592000</c:v>
                </c:pt>
                <c:pt idx="8">
                  <c:v>592000</c:v>
                </c:pt>
                <c:pt idx="9">
                  <c:v>592000</c:v>
                </c:pt>
                <c:pt idx="10">
                  <c:v>592000</c:v>
                </c:pt>
                <c:pt idx="11">
                  <c:v>592000</c:v>
                </c:pt>
                <c:pt idx="12">
                  <c:v>7104000</c:v>
                </c:pt>
                <c:pt idx="14">
                  <c:v>652443.20000000007</c:v>
                </c:pt>
                <c:pt idx="15">
                  <c:v>652443.20000000007</c:v>
                </c:pt>
                <c:pt idx="16">
                  <c:v>652443.20000000007</c:v>
                </c:pt>
                <c:pt idx="17">
                  <c:v>652443.20000000007</c:v>
                </c:pt>
                <c:pt idx="18">
                  <c:v>652443.20000000007</c:v>
                </c:pt>
                <c:pt idx="19">
                  <c:v>652443.20000000007</c:v>
                </c:pt>
                <c:pt idx="20">
                  <c:v>652443.20000000007</c:v>
                </c:pt>
                <c:pt idx="21">
                  <c:v>652443.20000000007</c:v>
                </c:pt>
                <c:pt idx="22">
                  <c:v>652443.20000000007</c:v>
                </c:pt>
                <c:pt idx="23">
                  <c:v>652443.20000000007</c:v>
                </c:pt>
                <c:pt idx="24">
                  <c:v>652443.20000000007</c:v>
                </c:pt>
                <c:pt idx="25">
                  <c:v>652443.20000000007</c:v>
                </c:pt>
                <c:pt idx="26">
                  <c:v>7829318.4000000013</c:v>
                </c:pt>
                <c:pt idx="28">
                  <c:v>726169.2816000001</c:v>
                </c:pt>
                <c:pt idx="29">
                  <c:v>726169.2816000001</c:v>
                </c:pt>
                <c:pt idx="30">
                  <c:v>726169.2816000001</c:v>
                </c:pt>
                <c:pt idx="31">
                  <c:v>726169.2816000001</c:v>
                </c:pt>
                <c:pt idx="32">
                  <c:v>726169.2816000001</c:v>
                </c:pt>
                <c:pt idx="33">
                  <c:v>726169.2816000001</c:v>
                </c:pt>
                <c:pt idx="34">
                  <c:v>726169.2816000001</c:v>
                </c:pt>
                <c:pt idx="35">
                  <c:v>726169.2816000001</c:v>
                </c:pt>
                <c:pt idx="36">
                  <c:v>726169.2816000001</c:v>
                </c:pt>
                <c:pt idx="37">
                  <c:v>726169.2816000001</c:v>
                </c:pt>
                <c:pt idx="38">
                  <c:v>726169.2816000001</c:v>
                </c:pt>
                <c:pt idx="39">
                  <c:v>726169.2816000001</c:v>
                </c:pt>
                <c:pt idx="40">
                  <c:v>8714031.3792000022</c:v>
                </c:pt>
                <c:pt idx="42">
                  <c:v>808226.41042080009</c:v>
                </c:pt>
                <c:pt idx="43">
                  <c:v>808226.41042080009</c:v>
                </c:pt>
                <c:pt idx="44">
                  <c:v>808226.41042080009</c:v>
                </c:pt>
                <c:pt idx="45">
                  <c:v>808226.41042080009</c:v>
                </c:pt>
                <c:pt idx="46">
                  <c:v>808226.41042080009</c:v>
                </c:pt>
                <c:pt idx="47">
                  <c:v>808226.41042080009</c:v>
                </c:pt>
                <c:pt idx="48">
                  <c:v>808226.41042080009</c:v>
                </c:pt>
                <c:pt idx="49">
                  <c:v>808226.41042080009</c:v>
                </c:pt>
                <c:pt idx="50">
                  <c:v>808226.41042080009</c:v>
                </c:pt>
                <c:pt idx="51">
                  <c:v>808226.41042080009</c:v>
                </c:pt>
                <c:pt idx="52">
                  <c:v>808226.41042080009</c:v>
                </c:pt>
                <c:pt idx="53">
                  <c:v>808226.41042080009</c:v>
                </c:pt>
                <c:pt idx="54">
                  <c:v>9698716.9250495993</c:v>
                </c:pt>
                <c:pt idx="56">
                  <c:v>899555.99479835073</c:v>
                </c:pt>
                <c:pt idx="57">
                  <c:v>899555.99479835073</c:v>
                </c:pt>
                <c:pt idx="58">
                  <c:v>899555.99479835073</c:v>
                </c:pt>
                <c:pt idx="59">
                  <c:v>899555.99479835073</c:v>
                </c:pt>
                <c:pt idx="60">
                  <c:v>899555.99479835073</c:v>
                </c:pt>
                <c:pt idx="61">
                  <c:v>899555.99479835073</c:v>
                </c:pt>
                <c:pt idx="62">
                  <c:v>899555.99479835073</c:v>
                </c:pt>
                <c:pt idx="63">
                  <c:v>899555.99479835073</c:v>
                </c:pt>
                <c:pt idx="64">
                  <c:v>899555.99479835073</c:v>
                </c:pt>
                <c:pt idx="65">
                  <c:v>899555.99479835073</c:v>
                </c:pt>
                <c:pt idx="66">
                  <c:v>899555.99479835073</c:v>
                </c:pt>
                <c:pt idx="67">
                  <c:v>899555.99479835073</c:v>
                </c:pt>
                <c:pt idx="68">
                  <c:v>10794671.937580211</c:v>
                </c:pt>
                <c:pt idx="70">
                  <c:v>1001205.8222105643</c:v>
                </c:pt>
                <c:pt idx="71">
                  <c:v>1001205.8222105643</c:v>
                </c:pt>
                <c:pt idx="72">
                  <c:v>1001205.8222105643</c:v>
                </c:pt>
                <c:pt idx="73">
                  <c:v>1001205.8222105643</c:v>
                </c:pt>
                <c:pt idx="74">
                  <c:v>1001205.8222105643</c:v>
                </c:pt>
                <c:pt idx="75">
                  <c:v>1001205.8222105643</c:v>
                </c:pt>
                <c:pt idx="76">
                  <c:v>1001205.8222105643</c:v>
                </c:pt>
                <c:pt idx="77">
                  <c:v>1001205.8222105643</c:v>
                </c:pt>
                <c:pt idx="78">
                  <c:v>1001205.8222105643</c:v>
                </c:pt>
                <c:pt idx="79">
                  <c:v>1001205.8222105643</c:v>
                </c:pt>
                <c:pt idx="80">
                  <c:v>1001205.8222105643</c:v>
                </c:pt>
                <c:pt idx="81">
                  <c:v>1001205.8222105643</c:v>
                </c:pt>
                <c:pt idx="82">
                  <c:v>12014469.866526775</c:v>
                </c:pt>
                <c:pt idx="84">
                  <c:v>1114342.0801203582</c:v>
                </c:pt>
                <c:pt idx="85">
                  <c:v>1114342.0801203582</c:v>
                </c:pt>
                <c:pt idx="86">
                  <c:v>1114342.0801203582</c:v>
                </c:pt>
                <c:pt idx="87">
                  <c:v>1114342.0801203582</c:v>
                </c:pt>
                <c:pt idx="88">
                  <c:v>1114342.0801203582</c:v>
                </c:pt>
                <c:pt idx="89">
                  <c:v>1114342.0801203582</c:v>
                </c:pt>
                <c:pt idx="90">
                  <c:v>1114342.0801203582</c:v>
                </c:pt>
                <c:pt idx="91">
                  <c:v>1114342.0801203582</c:v>
                </c:pt>
                <c:pt idx="92">
                  <c:v>1114342.0801203582</c:v>
                </c:pt>
                <c:pt idx="93">
                  <c:v>1114342.0801203582</c:v>
                </c:pt>
                <c:pt idx="94">
                  <c:v>1114342.0801203582</c:v>
                </c:pt>
                <c:pt idx="95">
                  <c:v>1114342.0801203582</c:v>
                </c:pt>
                <c:pt idx="96">
                  <c:v>13372104.961444302</c:v>
                </c:pt>
                <c:pt idx="98">
                  <c:v>1240262.7351739586</c:v>
                </c:pt>
                <c:pt idx="99">
                  <c:v>1240262.7351739586</c:v>
                </c:pt>
                <c:pt idx="100">
                  <c:v>1240262.7351739586</c:v>
                </c:pt>
                <c:pt idx="101">
                  <c:v>1240262.7351739586</c:v>
                </c:pt>
                <c:pt idx="102">
                  <c:v>1240262.7351739586</c:v>
                </c:pt>
                <c:pt idx="103">
                  <c:v>1240262.7351739586</c:v>
                </c:pt>
                <c:pt idx="104">
                  <c:v>1240262.7351739586</c:v>
                </c:pt>
                <c:pt idx="105">
                  <c:v>1240262.7351739586</c:v>
                </c:pt>
                <c:pt idx="106">
                  <c:v>1240262.7351739586</c:v>
                </c:pt>
                <c:pt idx="107">
                  <c:v>1240262.7351739586</c:v>
                </c:pt>
                <c:pt idx="108">
                  <c:v>1240262.7351739586</c:v>
                </c:pt>
                <c:pt idx="109">
                  <c:v>1240262.7351739586</c:v>
                </c:pt>
                <c:pt idx="110">
                  <c:v>14883152.822087506</c:v>
                </c:pt>
                <c:pt idx="112">
                  <c:v>1380412.424248616</c:v>
                </c:pt>
                <c:pt idx="113">
                  <c:v>1380412.424248616</c:v>
                </c:pt>
                <c:pt idx="114">
                  <c:v>1380412.424248616</c:v>
                </c:pt>
                <c:pt idx="115">
                  <c:v>1380412.424248616</c:v>
                </c:pt>
                <c:pt idx="116">
                  <c:v>1380412.424248616</c:v>
                </c:pt>
                <c:pt idx="117">
                  <c:v>1380412.424248616</c:v>
                </c:pt>
                <c:pt idx="118">
                  <c:v>1380412.424248616</c:v>
                </c:pt>
                <c:pt idx="119">
                  <c:v>1380412.424248616</c:v>
                </c:pt>
                <c:pt idx="120">
                  <c:v>1380412.424248616</c:v>
                </c:pt>
                <c:pt idx="121">
                  <c:v>1380412.424248616</c:v>
                </c:pt>
                <c:pt idx="122">
                  <c:v>1380412.424248616</c:v>
                </c:pt>
                <c:pt idx="123">
                  <c:v>1380412.424248616</c:v>
                </c:pt>
                <c:pt idx="124">
                  <c:v>16564949.090983389</c:v>
                </c:pt>
                <c:pt idx="126">
                  <c:v>1536399.0281887094</c:v>
                </c:pt>
                <c:pt idx="127">
                  <c:v>1536399.0281887094</c:v>
                </c:pt>
                <c:pt idx="128">
                  <c:v>1536399.0281887094</c:v>
                </c:pt>
                <c:pt idx="129">
                  <c:v>1536399.0281887094</c:v>
                </c:pt>
                <c:pt idx="130">
                  <c:v>1536399.0281887094</c:v>
                </c:pt>
                <c:pt idx="131">
                  <c:v>1536399.0281887094</c:v>
                </c:pt>
                <c:pt idx="132">
                  <c:v>1536399.0281887094</c:v>
                </c:pt>
                <c:pt idx="133">
                  <c:v>1536399.0281887094</c:v>
                </c:pt>
                <c:pt idx="134">
                  <c:v>1536399.0281887094</c:v>
                </c:pt>
                <c:pt idx="135">
                  <c:v>1536399.0281887094</c:v>
                </c:pt>
                <c:pt idx="136">
                  <c:v>1536399.0281887094</c:v>
                </c:pt>
                <c:pt idx="137">
                  <c:v>1536399.0281887094</c:v>
                </c:pt>
                <c:pt idx="138">
                  <c:v>18436788.338264514</c:v>
                </c:pt>
              </c:numCache>
            </c:numRef>
          </c:val>
          <c:smooth val="0"/>
          <c:extLst>
            <c:ext xmlns:c16="http://schemas.microsoft.com/office/drawing/2014/chart" uri="{C3380CC4-5D6E-409C-BE32-E72D297353CC}">
              <c16:uniqueId val="{00000000-FA83-4F4C-B70F-4B22BF1B45DA}"/>
            </c:ext>
          </c:extLst>
        </c:ser>
        <c:ser>
          <c:idx val="1"/>
          <c:order val="1"/>
          <c:tx>
            <c:strRef>
              <c:f>CT!$A$58</c:f>
              <c:strCache>
                <c:ptCount val="1"/>
                <c:pt idx="0">
                  <c:v> Egreso mensual </c:v>
                </c:pt>
              </c:strCache>
            </c:strRef>
          </c:tx>
          <c:spPr>
            <a:ln w="28575" cap="rnd">
              <a:solidFill>
                <a:schemeClr val="accent4"/>
              </a:solidFill>
              <a:round/>
            </a:ln>
            <a:effectLst/>
          </c:spPr>
          <c:marker>
            <c:symbol val="none"/>
          </c:marker>
          <c:val>
            <c:numRef>
              <c:f>CT!$B$58:$EJ$58</c:f>
              <c:numCache>
                <c:formatCode>_-"$"* #,##0.00_-;\-"$"* #,##0.00_-;_-"$"* "-"??_-;_-@_-</c:formatCode>
                <c:ptCount val="139"/>
                <c:pt idx="0">
                  <c:v>426490</c:v>
                </c:pt>
                <c:pt idx="1">
                  <c:v>426490</c:v>
                </c:pt>
                <c:pt idx="2">
                  <c:v>426490</c:v>
                </c:pt>
                <c:pt idx="3">
                  <c:v>426490</c:v>
                </c:pt>
                <c:pt idx="4">
                  <c:v>426490</c:v>
                </c:pt>
                <c:pt idx="5">
                  <c:v>426490</c:v>
                </c:pt>
                <c:pt idx="6">
                  <c:v>426490</c:v>
                </c:pt>
                <c:pt idx="7">
                  <c:v>426490</c:v>
                </c:pt>
                <c:pt idx="8">
                  <c:v>426490</c:v>
                </c:pt>
                <c:pt idx="9">
                  <c:v>426490</c:v>
                </c:pt>
                <c:pt idx="10">
                  <c:v>426490</c:v>
                </c:pt>
                <c:pt idx="11">
                  <c:v>426490</c:v>
                </c:pt>
                <c:pt idx="12">
                  <c:v>5117880</c:v>
                </c:pt>
                <c:pt idx="14">
                  <c:v>465723.59899999999</c:v>
                </c:pt>
                <c:pt idx="15">
                  <c:v>465723.59899999999</c:v>
                </c:pt>
                <c:pt idx="16">
                  <c:v>465723.59899999999</c:v>
                </c:pt>
                <c:pt idx="17">
                  <c:v>465723.59899999999</c:v>
                </c:pt>
                <c:pt idx="18">
                  <c:v>465723.59899999999</c:v>
                </c:pt>
                <c:pt idx="19">
                  <c:v>465723.59899999999</c:v>
                </c:pt>
                <c:pt idx="20">
                  <c:v>465723.59899999999</c:v>
                </c:pt>
                <c:pt idx="21">
                  <c:v>465723.59899999999</c:v>
                </c:pt>
                <c:pt idx="22">
                  <c:v>465723.59899999999</c:v>
                </c:pt>
                <c:pt idx="23">
                  <c:v>465723.59899999999</c:v>
                </c:pt>
                <c:pt idx="24">
                  <c:v>465723.59899999999</c:v>
                </c:pt>
                <c:pt idx="25">
                  <c:v>465723.59899999999</c:v>
                </c:pt>
                <c:pt idx="26">
                  <c:v>5588683.188000001</c:v>
                </c:pt>
                <c:pt idx="28">
                  <c:v>510734.21268700005</c:v>
                </c:pt>
                <c:pt idx="29">
                  <c:v>510734.21268700005</c:v>
                </c:pt>
                <c:pt idx="30">
                  <c:v>510734.21268700005</c:v>
                </c:pt>
                <c:pt idx="31">
                  <c:v>510734.21268700005</c:v>
                </c:pt>
                <c:pt idx="32">
                  <c:v>510734.21268700005</c:v>
                </c:pt>
                <c:pt idx="33">
                  <c:v>510734.21268700005</c:v>
                </c:pt>
                <c:pt idx="34">
                  <c:v>510734.21268700005</c:v>
                </c:pt>
                <c:pt idx="35">
                  <c:v>510734.21268700005</c:v>
                </c:pt>
                <c:pt idx="36">
                  <c:v>510734.21268700005</c:v>
                </c:pt>
                <c:pt idx="37">
                  <c:v>510734.21268700005</c:v>
                </c:pt>
                <c:pt idx="38">
                  <c:v>510734.21268700005</c:v>
                </c:pt>
                <c:pt idx="39">
                  <c:v>510734.21268700005</c:v>
                </c:pt>
                <c:pt idx="40">
                  <c:v>6128810.5522440001</c:v>
                </c:pt>
                <c:pt idx="42">
                  <c:v>560374.05654063111</c:v>
                </c:pt>
                <c:pt idx="43">
                  <c:v>560374.05654063111</c:v>
                </c:pt>
                <c:pt idx="44">
                  <c:v>560374.05654063111</c:v>
                </c:pt>
                <c:pt idx="45">
                  <c:v>560374.05654063111</c:v>
                </c:pt>
                <c:pt idx="46">
                  <c:v>560374.05654063111</c:v>
                </c:pt>
                <c:pt idx="47">
                  <c:v>560374.05654063111</c:v>
                </c:pt>
                <c:pt idx="48">
                  <c:v>560374.05654063111</c:v>
                </c:pt>
                <c:pt idx="49">
                  <c:v>560374.05654063111</c:v>
                </c:pt>
                <c:pt idx="50">
                  <c:v>560374.05654063111</c:v>
                </c:pt>
                <c:pt idx="51">
                  <c:v>560374.05654063111</c:v>
                </c:pt>
                <c:pt idx="52">
                  <c:v>560374.05654063111</c:v>
                </c:pt>
                <c:pt idx="53">
                  <c:v>560374.05654063111</c:v>
                </c:pt>
                <c:pt idx="54">
                  <c:v>6724488.6784875719</c:v>
                </c:pt>
                <c:pt idx="56">
                  <c:v>615138.81541892234</c:v>
                </c:pt>
                <c:pt idx="57">
                  <c:v>615138.81541892234</c:v>
                </c:pt>
                <c:pt idx="58">
                  <c:v>615138.81541892234</c:v>
                </c:pt>
                <c:pt idx="59">
                  <c:v>615138.81541892234</c:v>
                </c:pt>
                <c:pt idx="60">
                  <c:v>615138.81541892234</c:v>
                </c:pt>
                <c:pt idx="61">
                  <c:v>615138.81541892234</c:v>
                </c:pt>
                <c:pt idx="62">
                  <c:v>615138.81541892234</c:v>
                </c:pt>
                <c:pt idx="63">
                  <c:v>615138.81541892234</c:v>
                </c:pt>
                <c:pt idx="64">
                  <c:v>615138.81541892234</c:v>
                </c:pt>
                <c:pt idx="65">
                  <c:v>615138.81541892234</c:v>
                </c:pt>
                <c:pt idx="66">
                  <c:v>615138.81541892234</c:v>
                </c:pt>
                <c:pt idx="67">
                  <c:v>615138.81541892234</c:v>
                </c:pt>
                <c:pt idx="68">
                  <c:v>7381665.7850270681</c:v>
                </c:pt>
                <c:pt idx="70">
                  <c:v>675578.5414798127</c:v>
                </c:pt>
                <c:pt idx="71">
                  <c:v>675578.5414798127</c:v>
                </c:pt>
                <c:pt idx="72">
                  <c:v>675578.5414798127</c:v>
                </c:pt>
                <c:pt idx="73">
                  <c:v>675578.5414798127</c:v>
                </c:pt>
                <c:pt idx="74">
                  <c:v>675578.5414798127</c:v>
                </c:pt>
                <c:pt idx="75">
                  <c:v>675578.5414798127</c:v>
                </c:pt>
                <c:pt idx="76">
                  <c:v>675578.5414798127</c:v>
                </c:pt>
                <c:pt idx="77">
                  <c:v>675578.5414798127</c:v>
                </c:pt>
                <c:pt idx="78">
                  <c:v>675578.5414798127</c:v>
                </c:pt>
                <c:pt idx="79">
                  <c:v>675578.5414798127</c:v>
                </c:pt>
                <c:pt idx="80">
                  <c:v>675578.5414798127</c:v>
                </c:pt>
                <c:pt idx="81">
                  <c:v>675578.5414798127</c:v>
                </c:pt>
                <c:pt idx="82">
                  <c:v>8106942.4977577543</c:v>
                </c:pt>
                <c:pt idx="84">
                  <c:v>742303.69898069673</c:v>
                </c:pt>
                <c:pt idx="85">
                  <c:v>742303.69898069673</c:v>
                </c:pt>
                <c:pt idx="86">
                  <c:v>742303.69898069673</c:v>
                </c:pt>
                <c:pt idx="87">
                  <c:v>742303.69898069673</c:v>
                </c:pt>
                <c:pt idx="88">
                  <c:v>742303.69898069673</c:v>
                </c:pt>
                <c:pt idx="89">
                  <c:v>742303.69898069673</c:v>
                </c:pt>
                <c:pt idx="90">
                  <c:v>742303.69898069673</c:v>
                </c:pt>
                <c:pt idx="91">
                  <c:v>742303.69898069673</c:v>
                </c:pt>
                <c:pt idx="92">
                  <c:v>742303.69898069673</c:v>
                </c:pt>
                <c:pt idx="93">
                  <c:v>742303.69898069673</c:v>
                </c:pt>
                <c:pt idx="94">
                  <c:v>742303.69898069673</c:v>
                </c:pt>
                <c:pt idx="95">
                  <c:v>742303.69898069673</c:v>
                </c:pt>
                <c:pt idx="96">
                  <c:v>8907644.3877683599</c:v>
                </c:pt>
                <c:pt idx="98">
                  <c:v>815991.88621800067</c:v>
                </c:pt>
                <c:pt idx="99">
                  <c:v>815991.88621800067</c:v>
                </c:pt>
                <c:pt idx="100">
                  <c:v>815991.88621800067</c:v>
                </c:pt>
                <c:pt idx="101">
                  <c:v>815991.88621800067</c:v>
                </c:pt>
                <c:pt idx="102">
                  <c:v>815991.88621800067</c:v>
                </c:pt>
                <c:pt idx="103">
                  <c:v>815991.88621800067</c:v>
                </c:pt>
                <c:pt idx="104">
                  <c:v>815991.88621800067</c:v>
                </c:pt>
                <c:pt idx="105">
                  <c:v>815991.88621800067</c:v>
                </c:pt>
                <c:pt idx="106">
                  <c:v>815991.88621800067</c:v>
                </c:pt>
                <c:pt idx="107">
                  <c:v>815991.88621800067</c:v>
                </c:pt>
                <c:pt idx="108">
                  <c:v>815991.88621800067</c:v>
                </c:pt>
                <c:pt idx="109">
                  <c:v>815991.88621800067</c:v>
                </c:pt>
                <c:pt idx="110">
                  <c:v>9791902.6346160062</c:v>
                </c:pt>
                <c:pt idx="112">
                  <c:v>897395.310768269</c:v>
                </c:pt>
                <c:pt idx="113">
                  <c:v>897395.310768269</c:v>
                </c:pt>
                <c:pt idx="114">
                  <c:v>897395.310768269</c:v>
                </c:pt>
                <c:pt idx="115">
                  <c:v>897395.310768269</c:v>
                </c:pt>
                <c:pt idx="116">
                  <c:v>897395.310768269</c:v>
                </c:pt>
                <c:pt idx="117">
                  <c:v>897395.310768269</c:v>
                </c:pt>
                <c:pt idx="118">
                  <c:v>897395.310768269</c:v>
                </c:pt>
                <c:pt idx="119">
                  <c:v>897395.310768269</c:v>
                </c:pt>
                <c:pt idx="120">
                  <c:v>897395.310768269</c:v>
                </c:pt>
                <c:pt idx="121">
                  <c:v>897395.310768269</c:v>
                </c:pt>
                <c:pt idx="122">
                  <c:v>897395.310768269</c:v>
                </c:pt>
                <c:pt idx="123">
                  <c:v>897395.310768269</c:v>
                </c:pt>
                <c:pt idx="124">
                  <c:v>10768743.729219228</c:v>
                </c:pt>
                <c:pt idx="126">
                  <c:v>987349.10277717549</c:v>
                </c:pt>
                <c:pt idx="127">
                  <c:v>987349.10277717549</c:v>
                </c:pt>
                <c:pt idx="128">
                  <c:v>987349.10277717549</c:v>
                </c:pt>
                <c:pt idx="129">
                  <c:v>987349.10277717549</c:v>
                </c:pt>
                <c:pt idx="130">
                  <c:v>987349.10277717549</c:v>
                </c:pt>
                <c:pt idx="131">
                  <c:v>987349.10277717549</c:v>
                </c:pt>
                <c:pt idx="132">
                  <c:v>987349.10277717549</c:v>
                </c:pt>
                <c:pt idx="133">
                  <c:v>987349.10277717549</c:v>
                </c:pt>
                <c:pt idx="134">
                  <c:v>987349.10277717549</c:v>
                </c:pt>
                <c:pt idx="135">
                  <c:v>987349.10277717549</c:v>
                </c:pt>
                <c:pt idx="136">
                  <c:v>987349.10277717549</c:v>
                </c:pt>
                <c:pt idx="137">
                  <c:v>987349.10277717549</c:v>
                </c:pt>
                <c:pt idx="138">
                  <c:v>11848189.233326105</c:v>
                </c:pt>
              </c:numCache>
            </c:numRef>
          </c:val>
          <c:smooth val="0"/>
          <c:extLst>
            <c:ext xmlns:c16="http://schemas.microsoft.com/office/drawing/2014/chart" uri="{C3380CC4-5D6E-409C-BE32-E72D297353CC}">
              <c16:uniqueId val="{00000001-FA83-4F4C-B70F-4B22BF1B45DA}"/>
            </c:ext>
          </c:extLst>
        </c:ser>
        <c:ser>
          <c:idx val="2"/>
          <c:order val="2"/>
          <c:tx>
            <c:strRef>
              <c:f>CT!$A$59</c:f>
              <c:strCache>
                <c:ptCount val="1"/>
                <c:pt idx="0">
                  <c:v> Saldo mensual </c:v>
                </c:pt>
              </c:strCache>
            </c:strRef>
          </c:tx>
          <c:spPr>
            <a:ln w="28575" cap="rnd">
              <a:solidFill>
                <a:schemeClr val="accent6"/>
              </a:solidFill>
              <a:round/>
            </a:ln>
            <a:effectLst/>
          </c:spPr>
          <c:marker>
            <c:symbol val="none"/>
          </c:marker>
          <c:val>
            <c:numRef>
              <c:f>CT!$B$59:$EJ$59</c:f>
              <c:numCache>
                <c:formatCode>_-"$"* #,##0.00_-;\-"$"* #,##0.00_-;_-"$"* "-"??_-;_-@_-</c:formatCode>
                <c:ptCount val="139"/>
                <c:pt idx="0">
                  <c:v>165510</c:v>
                </c:pt>
                <c:pt idx="1">
                  <c:v>165510</c:v>
                </c:pt>
                <c:pt idx="2">
                  <c:v>165510</c:v>
                </c:pt>
                <c:pt idx="3">
                  <c:v>165510</c:v>
                </c:pt>
                <c:pt idx="4">
                  <c:v>165510</c:v>
                </c:pt>
                <c:pt idx="5">
                  <c:v>165510</c:v>
                </c:pt>
                <c:pt idx="6">
                  <c:v>165510</c:v>
                </c:pt>
                <c:pt idx="7">
                  <c:v>165510</c:v>
                </c:pt>
                <c:pt idx="8">
                  <c:v>165510</c:v>
                </c:pt>
                <c:pt idx="9">
                  <c:v>165510</c:v>
                </c:pt>
                <c:pt idx="10">
                  <c:v>165510</c:v>
                </c:pt>
                <c:pt idx="11">
                  <c:v>165510</c:v>
                </c:pt>
                <c:pt idx="12">
                  <c:v>1986120</c:v>
                </c:pt>
                <c:pt idx="14">
                  <c:v>186719.60100000008</c:v>
                </c:pt>
                <c:pt idx="15">
                  <c:v>186719.60100000008</c:v>
                </c:pt>
                <c:pt idx="16">
                  <c:v>186719.60100000008</c:v>
                </c:pt>
                <c:pt idx="17">
                  <c:v>186719.60100000008</c:v>
                </c:pt>
                <c:pt idx="18">
                  <c:v>186719.60100000008</c:v>
                </c:pt>
                <c:pt idx="19">
                  <c:v>186719.60100000008</c:v>
                </c:pt>
                <c:pt idx="20">
                  <c:v>186719.60100000008</c:v>
                </c:pt>
                <c:pt idx="21">
                  <c:v>186719.60100000008</c:v>
                </c:pt>
                <c:pt idx="22">
                  <c:v>186719.60100000008</c:v>
                </c:pt>
                <c:pt idx="23">
                  <c:v>186719.60100000008</c:v>
                </c:pt>
                <c:pt idx="24">
                  <c:v>186719.60100000008</c:v>
                </c:pt>
                <c:pt idx="25">
                  <c:v>186719.60100000008</c:v>
                </c:pt>
                <c:pt idx="26">
                  <c:v>2240635.2120000008</c:v>
                </c:pt>
                <c:pt idx="28">
                  <c:v>215435.06891300005</c:v>
                </c:pt>
                <c:pt idx="29">
                  <c:v>215435.06891300005</c:v>
                </c:pt>
                <c:pt idx="30">
                  <c:v>215435.06891300005</c:v>
                </c:pt>
                <c:pt idx="31">
                  <c:v>215435.06891300005</c:v>
                </c:pt>
                <c:pt idx="32">
                  <c:v>215435.06891300005</c:v>
                </c:pt>
                <c:pt idx="33">
                  <c:v>215435.06891300005</c:v>
                </c:pt>
                <c:pt idx="34">
                  <c:v>215435.06891300005</c:v>
                </c:pt>
                <c:pt idx="35">
                  <c:v>215435.06891300005</c:v>
                </c:pt>
                <c:pt idx="36">
                  <c:v>215435.06891300005</c:v>
                </c:pt>
                <c:pt idx="37">
                  <c:v>215435.06891300005</c:v>
                </c:pt>
                <c:pt idx="38">
                  <c:v>215435.06891300005</c:v>
                </c:pt>
                <c:pt idx="39">
                  <c:v>215435.06891300005</c:v>
                </c:pt>
                <c:pt idx="40">
                  <c:v>2585220.8269560016</c:v>
                </c:pt>
                <c:pt idx="42">
                  <c:v>247852.35388016899</c:v>
                </c:pt>
                <c:pt idx="43">
                  <c:v>247852.35388016899</c:v>
                </c:pt>
                <c:pt idx="44">
                  <c:v>247852.35388016899</c:v>
                </c:pt>
                <c:pt idx="45">
                  <c:v>247852.35388016899</c:v>
                </c:pt>
                <c:pt idx="46">
                  <c:v>247852.35388016899</c:v>
                </c:pt>
                <c:pt idx="47">
                  <c:v>247852.35388016899</c:v>
                </c:pt>
                <c:pt idx="48">
                  <c:v>247852.35388016899</c:v>
                </c:pt>
                <c:pt idx="49">
                  <c:v>247852.35388016899</c:v>
                </c:pt>
                <c:pt idx="50">
                  <c:v>247852.35388016899</c:v>
                </c:pt>
                <c:pt idx="51">
                  <c:v>247852.35388016899</c:v>
                </c:pt>
                <c:pt idx="52">
                  <c:v>247852.35388016899</c:v>
                </c:pt>
                <c:pt idx="53">
                  <c:v>247852.35388016899</c:v>
                </c:pt>
                <c:pt idx="54">
                  <c:v>2974228.2465620269</c:v>
                </c:pt>
                <c:pt idx="56">
                  <c:v>284417.17937942839</c:v>
                </c:pt>
                <c:pt idx="57">
                  <c:v>284417.17937942839</c:v>
                </c:pt>
                <c:pt idx="58">
                  <c:v>284417.17937942839</c:v>
                </c:pt>
                <c:pt idx="59">
                  <c:v>284417.17937942839</c:v>
                </c:pt>
                <c:pt idx="60">
                  <c:v>284417.17937942839</c:v>
                </c:pt>
                <c:pt idx="61">
                  <c:v>284417.17937942839</c:v>
                </c:pt>
                <c:pt idx="62">
                  <c:v>284417.17937942839</c:v>
                </c:pt>
                <c:pt idx="63">
                  <c:v>284417.17937942839</c:v>
                </c:pt>
                <c:pt idx="64">
                  <c:v>284417.17937942839</c:v>
                </c:pt>
                <c:pt idx="65">
                  <c:v>284417.17937942839</c:v>
                </c:pt>
                <c:pt idx="66">
                  <c:v>284417.17937942839</c:v>
                </c:pt>
                <c:pt idx="67">
                  <c:v>284417.17937942839</c:v>
                </c:pt>
                <c:pt idx="68">
                  <c:v>3413006.1525531397</c:v>
                </c:pt>
                <c:pt idx="70">
                  <c:v>325627.28073075158</c:v>
                </c:pt>
                <c:pt idx="71">
                  <c:v>325627.28073075158</c:v>
                </c:pt>
                <c:pt idx="72">
                  <c:v>325627.28073075158</c:v>
                </c:pt>
                <c:pt idx="73">
                  <c:v>325627.28073075158</c:v>
                </c:pt>
                <c:pt idx="74">
                  <c:v>325627.28073075158</c:v>
                </c:pt>
                <c:pt idx="75">
                  <c:v>325627.28073075158</c:v>
                </c:pt>
                <c:pt idx="76">
                  <c:v>325627.28073075158</c:v>
                </c:pt>
                <c:pt idx="77">
                  <c:v>325627.28073075158</c:v>
                </c:pt>
                <c:pt idx="78">
                  <c:v>325627.28073075158</c:v>
                </c:pt>
                <c:pt idx="79">
                  <c:v>325627.28073075158</c:v>
                </c:pt>
                <c:pt idx="80">
                  <c:v>325627.28073075158</c:v>
                </c:pt>
                <c:pt idx="81">
                  <c:v>325627.28073075158</c:v>
                </c:pt>
                <c:pt idx="82">
                  <c:v>3907527.368769018</c:v>
                </c:pt>
                <c:pt idx="84">
                  <c:v>372038.38113966142</c:v>
                </c:pt>
                <c:pt idx="85">
                  <c:v>372038.38113966142</c:v>
                </c:pt>
                <c:pt idx="86">
                  <c:v>372038.38113966142</c:v>
                </c:pt>
                <c:pt idx="87">
                  <c:v>372038.38113966142</c:v>
                </c:pt>
                <c:pt idx="88">
                  <c:v>372038.38113966142</c:v>
                </c:pt>
                <c:pt idx="89">
                  <c:v>372038.38113966142</c:v>
                </c:pt>
                <c:pt idx="90">
                  <c:v>372038.38113966142</c:v>
                </c:pt>
                <c:pt idx="91">
                  <c:v>372038.38113966142</c:v>
                </c:pt>
                <c:pt idx="92">
                  <c:v>372038.38113966142</c:v>
                </c:pt>
                <c:pt idx="93">
                  <c:v>372038.38113966142</c:v>
                </c:pt>
                <c:pt idx="94">
                  <c:v>372038.38113966142</c:v>
                </c:pt>
                <c:pt idx="95">
                  <c:v>372038.38113966142</c:v>
                </c:pt>
                <c:pt idx="96">
                  <c:v>4464460.5736759361</c:v>
                </c:pt>
                <c:pt idx="98">
                  <c:v>424270.84895595792</c:v>
                </c:pt>
                <c:pt idx="99">
                  <c:v>424270.84895595792</c:v>
                </c:pt>
                <c:pt idx="100">
                  <c:v>424270.84895595792</c:v>
                </c:pt>
                <c:pt idx="101">
                  <c:v>424270.84895595792</c:v>
                </c:pt>
                <c:pt idx="102">
                  <c:v>424270.84895595792</c:v>
                </c:pt>
                <c:pt idx="103">
                  <c:v>424270.84895595792</c:v>
                </c:pt>
                <c:pt idx="104">
                  <c:v>424270.84895595792</c:v>
                </c:pt>
                <c:pt idx="105">
                  <c:v>424270.84895595792</c:v>
                </c:pt>
                <c:pt idx="106">
                  <c:v>424270.84895595792</c:v>
                </c:pt>
                <c:pt idx="107">
                  <c:v>424270.84895595792</c:v>
                </c:pt>
                <c:pt idx="108">
                  <c:v>424270.84895595792</c:v>
                </c:pt>
                <c:pt idx="109">
                  <c:v>424270.84895595792</c:v>
                </c:pt>
                <c:pt idx="110">
                  <c:v>5091250.1874714969</c:v>
                </c:pt>
                <c:pt idx="112">
                  <c:v>483017.11348034698</c:v>
                </c:pt>
                <c:pt idx="113">
                  <c:v>483017.11348034698</c:v>
                </c:pt>
                <c:pt idx="114">
                  <c:v>483017.11348034698</c:v>
                </c:pt>
                <c:pt idx="115">
                  <c:v>483017.11348034698</c:v>
                </c:pt>
                <c:pt idx="116">
                  <c:v>483017.11348034698</c:v>
                </c:pt>
                <c:pt idx="117">
                  <c:v>483017.11348034698</c:v>
                </c:pt>
                <c:pt idx="118">
                  <c:v>483017.11348034698</c:v>
                </c:pt>
                <c:pt idx="119">
                  <c:v>483017.11348034698</c:v>
                </c:pt>
                <c:pt idx="120">
                  <c:v>483017.11348034698</c:v>
                </c:pt>
                <c:pt idx="121">
                  <c:v>483017.11348034698</c:v>
                </c:pt>
                <c:pt idx="122">
                  <c:v>483017.11348034698</c:v>
                </c:pt>
                <c:pt idx="123">
                  <c:v>483017.11348034698</c:v>
                </c:pt>
                <c:pt idx="124">
                  <c:v>5796205.3617641656</c:v>
                </c:pt>
                <c:pt idx="126">
                  <c:v>549049.92541153391</c:v>
                </c:pt>
                <c:pt idx="127">
                  <c:v>549049.92541153391</c:v>
                </c:pt>
                <c:pt idx="128">
                  <c:v>549049.92541153391</c:v>
                </c:pt>
                <c:pt idx="129">
                  <c:v>549049.92541153391</c:v>
                </c:pt>
                <c:pt idx="130">
                  <c:v>549049.92541153391</c:v>
                </c:pt>
                <c:pt idx="131">
                  <c:v>549049.92541153391</c:v>
                </c:pt>
                <c:pt idx="132">
                  <c:v>549049.92541153391</c:v>
                </c:pt>
                <c:pt idx="133">
                  <c:v>549049.92541153391</c:v>
                </c:pt>
                <c:pt idx="134">
                  <c:v>549049.92541153391</c:v>
                </c:pt>
                <c:pt idx="135">
                  <c:v>549049.92541153391</c:v>
                </c:pt>
                <c:pt idx="136">
                  <c:v>549049.92541153391</c:v>
                </c:pt>
                <c:pt idx="137">
                  <c:v>549049.92541153391</c:v>
                </c:pt>
                <c:pt idx="138">
                  <c:v>6588599.1049384056</c:v>
                </c:pt>
              </c:numCache>
            </c:numRef>
          </c:val>
          <c:smooth val="0"/>
          <c:extLst>
            <c:ext xmlns:c16="http://schemas.microsoft.com/office/drawing/2014/chart" uri="{C3380CC4-5D6E-409C-BE32-E72D297353CC}">
              <c16:uniqueId val="{00000002-FA83-4F4C-B70F-4B22BF1B45DA}"/>
            </c:ext>
          </c:extLst>
        </c:ser>
        <c:ser>
          <c:idx val="3"/>
          <c:order val="3"/>
          <c:tx>
            <c:strRef>
              <c:f>CT!$A$60</c:f>
              <c:strCache>
                <c:ptCount val="1"/>
                <c:pt idx="0">
                  <c:v> Saldo acumulado </c:v>
                </c:pt>
              </c:strCache>
            </c:strRef>
          </c:tx>
          <c:spPr>
            <a:ln w="28575" cap="rnd">
              <a:solidFill>
                <a:schemeClr val="accent2">
                  <a:lumMod val="60000"/>
                </a:schemeClr>
              </a:solidFill>
              <a:round/>
            </a:ln>
            <a:effectLst/>
          </c:spPr>
          <c:marker>
            <c:symbol val="none"/>
          </c:marker>
          <c:val>
            <c:numRef>
              <c:f>CT!$B$60:$EJ$60</c:f>
              <c:numCache>
                <c:formatCode>_-"$"* #,##0.00_-;\-"$"* #,##0.00_-;_-"$"* "-"??_-;_-@_-</c:formatCode>
                <c:ptCount val="139"/>
                <c:pt idx="0">
                  <c:v>165510</c:v>
                </c:pt>
                <c:pt idx="1">
                  <c:v>331020</c:v>
                </c:pt>
                <c:pt idx="2">
                  <c:v>496530</c:v>
                </c:pt>
                <c:pt idx="3">
                  <c:v>662040</c:v>
                </c:pt>
                <c:pt idx="4">
                  <c:v>827550</c:v>
                </c:pt>
                <c:pt idx="5">
                  <c:v>993060</c:v>
                </c:pt>
                <c:pt idx="6">
                  <c:v>1158570</c:v>
                </c:pt>
                <c:pt idx="7">
                  <c:v>1324080</c:v>
                </c:pt>
                <c:pt idx="8">
                  <c:v>1489590</c:v>
                </c:pt>
                <c:pt idx="9">
                  <c:v>1655100</c:v>
                </c:pt>
                <c:pt idx="10">
                  <c:v>1820610</c:v>
                </c:pt>
                <c:pt idx="11">
                  <c:v>1986120</c:v>
                </c:pt>
                <c:pt idx="12">
                  <c:v>1986120</c:v>
                </c:pt>
                <c:pt idx="14">
                  <c:v>2172839.6010000003</c:v>
                </c:pt>
                <c:pt idx="15">
                  <c:v>2359559.2020000005</c:v>
                </c:pt>
                <c:pt idx="16">
                  <c:v>2546278.8030000008</c:v>
                </c:pt>
                <c:pt idx="17">
                  <c:v>2732998.404000001</c:v>
                </c:pt>
                <c:pt idx="18">
                  <c:v>2919718.0050000013</c:v>
                </c:pt>
                <c:pt idx="19">
                  <c:v>3106437.6060000015</c:v>
                </c:pt>
                <c:pt idx="20">
                  <c:v>3293157.2070000018</c:v>
                </c:pt>
                <c:pt idx="21">
                  <c:v>3479876.8080000021</c:v>
                </c:pt>
                <c:pt idx="22">
                  <c:v>3666596.4090000023</c:v>
                </c:pt>
                <c:pt idx="23">
                  <c:v>3853316.0100000026</c:v>
                </c:pt>
                <c:pt idx="24">
                  <c:v>4040035.6110000028</c:v>
                </c:pt>
                <c:pt idx="25">
                  <c:v>4226755.2120000031</c:v>
                </c:pt>
                <c:pt idx="26">
                  <c:v>4226755.2120000031</c:v>
                </c:pt>
                <c:pt idx="28">
                  <c:v>4442190.2809130028</c:v>
                </c:pt>
                <c:pt idx="29">
                  <c:v>4657625.3498260025</c:v>
                </c:pt>
                <c:pt idx="30">
                  <c:v>4873060.4187390022</c:v>
                </c:pt>
                <c:pt idx="31">
                  <c:v>5088495.4876520019</c:v>
                </c:pt>
                <c:pt idx="32">
                  <c:v>5303930.5565650016</c:v>
                </c:pt>
                <c:pt idx="33">
                  <c:v>5519365.6254780013</c:v>
                </c:pt>
                <c:pt idx="34">
                  <c:v>5734800.694391001</c:v>
                </c:pt>
                <c:pt idx="35">
                  <c:v>5950235.7633040007</c:v>
                </c:pt>
                <c:pt idx="36">
                  <c:v>6165670.8322170004</c:v>
                </c:pt>
                <c:pt idx="37">
                  <c:v>6381105.9011300001</c:v>
                </c:pt>
                <c:pt idx="38">
                  <c:v>6596540.9700429998</c:v>
                </c:pt>
                <c:pt idx="39">
                  <c:v>6811976.0389559995</c:v>
                </c:pt>
                <c:pt idx="40">
                  <c:v>6811976.0389559995</c:v>
                </c:pt>
                <c:pt idx="42">
                  <c:v>7059828.3928361684</c:v>
                </c:pt>
                <c:pt idx="43">
                  <c:v>7307680.7467163373</c:v>
                </c:pt>
                <c:pt idx="44">
                  <c:v>7555533.1005965061</c:v>
                </c:pt>
                <c:pt idx="45">
                  <c:v>7803385.454476675</c:v>
                </c:pt>
                <c:pt idx="46">
                  <c:v>8051237.8083568439</c:v>
                </c:pt>
                <c:pt idx="47">
                  <c:v>8299090.1622370128</c:v>
                </c:pt>
                <c:pt idx="48">
                  <c:v>8546942.5161171816</c:v>
                </c:pt>
                <c:pt idx="49">
                  <c:v>8794794.8699973505</c:v>
                </c:pt>
                <c:pt idx="50">
                  <c:v>9042647.2238775194</c:v>
                </c:pt>
                <c:pt idx="51">
                  <c:v>9290499.5777576882</c:v>
                </c:pt>
                <c:pt idx="52">
                  <c:v>9538351.9316378571</c:v>
                </c:pt>
                <c:pt idx="53">
                  <c:v>9786204.285518026</c:v>
                </c:pt>
                <c:pt idx="54">
                  <c:v>9786204.285518026</c:v>
                </c:pt>
                <c:pt idx="56">
                  <c:v>10070621.464897454</c:v>
                </c:pt>
                <c:pt idx="57">
                  <c:v>10355038.644276882</c:v>
                </c:pt>
                <c:pt idx="58">
                  <c:v>10639455.823656309</c:v>
                </c:pt>
                <c:pt idx="59">
                  <c:v>10923873.003035737</c:v>
                </c:pt>
                <c:pt idx="60">
                  <c:v>11208290.182415165</c:v>
                </c:pt>
                <c:pt idx="61">
                  <c:v>11492707.361794593</c:v>
                </c:pt>
                <c:pt idx="62">
                  <c:v>11777124.541174021</c:v>
                </c:pt>
                <c:pt idx="63">
                  <c:v>12061541.720553448</c:v>
                </c:pt>
                <c:pt idx="64">
                  <c:v>12345958.899932876</c:v>
                </c:pt>
                <c:pt idx="65">
                  <c:v>12630376.079312304</c:v>
                </c:pt>
                <c:pt idx="66">
                  <c:v>12914793.258691732</c:v>
                </c:pt>
                <c:pt idx="67">
                  <c:v>13199210.43807116</c:v>
                </c:pt>
                <c:pt idx="68">
                  <c:v>13199210.43807116</c:v>
                </c:pt>
                <c:pt idx="70">
                  <c:v>13524837.718801912</c:v>
                </c:pt>
                <c:pt idx="71">
                  <c:v>13850464.999532664</c:v>
                </c:pt>
                <c:pt idx="72">
                  <c:v>14176092.280263416</c:v>
                </c:pt>
                <c:pt idx="73">
                  <c:v>14501719.560994169</c:v>
                </c:pt>
                <c:pt idx="74">
                  <c:v>14827346.841724921</c:v>
                </c:pt>
                <c:pt idx="75">
                  <c:v>15152974.122455673</c:v>
                </c:pt>
                <c:pt idx="76">
                  <c:v>15478601.403186426</c:v>
                </c:pt>
                <c:pt idx="77">
                  <c:v>15804228.683917178</c:v>
                </c:pt>
                <c:pt idx="78">
                  <c:v>16129855.96464793</c:v>
                </c:pt>
                <c:pt idx="79">
                  <c:v>16455483.245378682</c:v>
                </c:pt>
                <c:pt idx="80">
                  <c:v>16781110.526109435</c:v>
                </c:pt>
                <c:pt idx="81">
                  <c:v>17106737.806840185</c:v>
                </c:pt>
                <c:pt idx="82">
                  <c:v>17106737.806840185</c:v>
                </c:pt>
                <c:pt idx="84">
                  <c:v>17478776.187979847</c:v>
                </c:pt>
                <c:pt idx="85">
                  <c:v>17850814.569119509</c:v>
                </c:pt>
                <c:pt idx="86">
                  <c:v>18222852.950259171</c:v>
                </c:pt>
                <c:pt idx="87">
                  <c:v>18594891.331398834</c:v>
                </c:pt>
                <c:pt idx="88">
                  <c:v>18966929.712538496</c:v>
                </c:pt>
                <c:pt idx="89">
                  <c:v>19338968.093678158</c:v>
                </c:pt>
                <c:pt idx="90">
                  <c:v>19711006.47481782</c:v>
                </c:pt>
                <c:pt idx="91">
                  <c:v>20083044.855957482</c:v>
                </c:pt>
                <c:pt idx="92">
                  <c:v>20455083.237097144</c:v>
                </c:pt>
                <c:pt idx="93">
                  <c:v>20827121.618236806</c:v>
                </c:pt>
                <c:pt idx="94">
                  <c:v>21199159.999376468</c:v>
                </c:pt>
                <c:pt idx="95">
                  <c:v>21571198.38051613</c:v>
                </c:pt>
                <c:pt idx="96">
                  <c:v>21571198.38051613</c:v>
                </c:pt>
                <c:pt idx="98">
                  <c:v>21995469.22947209</c:v>
                </c:pt>
                <c:pt idx="99">
                  <c:v>22419740.078428049</c:v>
                </c:pt>
                <c:pt idx="100">
                  <c:v>22844010.927384008</c:v>
                </c:pt>
                <c:pt idx="101">
                  <c:v>23268281.776339967</c:v>
                </c:pt>
                <c:pt idx="102">
                  <c:v>23692552.625295926</c:v>
                </c:pt>
                <c:pt idx="103">
                  <c:v>24116823.474251885</c:v>
                </c:pt>
                <c:pt idx="104">
                  <c:v>24541094.323207844</c:v>
                </c:pt>
                <c:pt idx="105">
                  <c:v>24965365.172163803</c:v>
                </c:pt>
                <c:pt idx="106">
                  <c:v>25389636.021119762</c:v>
                </c:pt>
                <c:pt idx="107">
                  <c:v>25813906.870075721</c:v>
                </c:pt>
                <c:pt idx="108">
                  <c:v>26238177.71903168</c:v>
                </c:pt>
                <c:pt idx="109">
                  <c:v>26662448.567987639</c:v>
                </c:pt>
                <c:pt idx="110">
                  <c:v>26662448.567987639</c:v>
                </c:pt>
                <c:pt idx="112">
                  <c:v>27145465.681467988</c:v>
                </c:pt>
                <c:pt idx="113">
                  <c:v>27628482.794948336</c:v>
                </c:pt>
                <c:pt idx="114">
                  <c:v>28111499.908428684</c:v>
                </c:pt>
                <c:pt idx="115">
                  <c:v>28594517.021909032</c:v>
                </c:pt>
                <c:pt idx="116">
                  <c:v>29077534.13538938</c:v>
                </c:pt>
                <c:pt idx="117">
                  <c:v>29560551.248869728</c:v>
                </c:pt>
                <c:pt idx="118">
                  <c:v>30043568.362350076</c:v>
                </c:pt>
                <c:pt idx="119">
                  <c:v>30526585.475830425</c:v>
                </c:pt>
                <c:pt idx="120">
                  <c:v>31009602.589310773</c:v>
                </c:pt>
                <c:pt idx="121">
                  <c:v>31492619.702791121</c:v>
                </c:pt>
                <c:pt idx="122">
                  <c:v>31975636.816271469</c:v>
                </c:pt>
                <c:pt idx="123">
                  <c:v>32458653.929751817</c:v>
                </c:pt>
                <c:pt idx="124">
                  <c:v>32458653.929751817</c:v>
                </c:pt>
                <c:pt idx="126">
                  <c:v>33007703.855163351</c:v>
                </c:pt>
                <c:pt idx="127">
                  <c:v>33556753.780574888</c:v>
                </c:pt>
                <c:pt idx="128">
                  <c:v>34105803.705986425</c:v>
                </c:pt>
                <c:pt idx="129">
                  <c:v>34654853.631397963</c:v>
                </c:pt>
                <c:pt idx="130">
                  <c:v>35203903.5568095</c:v>
                </c:pt>
                <c:pt idx="131">
                  <c:v>35752953.482221037</c:v>
                </c:pt>
                <c:pt idx="132">
                  <c:v>36302003.407632574</c:v>
                </c:pt>
                <c:pt idx="133">
                  <c:v>36851053.333044112</c:v>
                </c:pt>
                <c:pt idx="134">
                  <c:v>37400103.258455649</c:v>
                </c:pt>
                <c:pt idx="135">
                  <c:v>37949153.183867186</c:v>
                </c:pt>
                <c:pt idx="136">
                  <c:v>38498203.109278724</c:v>
                </c:pt>
                <c:pt idx="137">
                  <c:v>39047253.034690261</c:v>
                </c:pt>
                <c:pt idx="138">
                  <c:v>39047253.034690261</c:v>
                </c:pt>
              </c:numCache>
            </c:numRef>
          </c:val>
          <c:smooth val="0"/>
          <c:extLst>
            <c:ext xmlns:c16="http://schemas.microsoft.com/office/drawing/2014/chart" uri="{C3380CC4-5D6E-409C-BE32-E72D297353CC}">
              <c16:uniqueId val="{00000003-FA83-4F4C-B70F-4B22BF1B45DA}"/>
            </c:ext>
          </c:extLst>
        </c:ser>
        <c:dLbls>
          <c:showLegendKey val="0"/>
          <c:showVal val="0"/>
          <c:showCatName val="0"/>
          <c:showSerName val="0"/>
          <c:showPercent val="0"/>
          <c:showBubbleSize val="0"/>
        </c:dLbls>
        <c:dropLines>
          <c:spPr>
            <a:ln w="9525" cap="flat" cmpd="sng" algn="ctr">
              <a:solidFill>
                <a:schemeClr val="tx1">
                  <a:lumMod val="35000"/>
                  <a:lumOff val="65000"/>
                </a:schemeClr>
              </a:solidFill>
              <a:round/>
            </a:ln>
            <a:effectLst/>
          </c:spPr>
        </c:dropLines>
        <c:smooth val="0"/>
        <c:axId val="743430815"/>
        <c:axId val="743431647"/>
      </c:lineChart>
      <c:catAx>
        <c:axId val="743430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Periodo mensual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43431647"/>
        <c:crosses val="autoZero"/>
        <c:auto val="1"/>
        <c:lblAlgn val="ctr"/>
        <c:lblOffset val="100"/>
        <c:noMultiLvlLbl val="0"/>
      </c:catAx>
      <c:valAx>
        <c:axId val="743431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Variación mensual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_-&quot;$&quot;* #,##0.00_-;\-&quot;$&quot;* #,##0.00_-;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43430815"/>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delete val="1"/>
          </c:dLbls>
          <c:cat>
            <c:numRef>
              <c:f>'FC e Ix'!$C$36:$L$36</c:f>
              <c:numCache>
                <c:formatCode>0%</c:formatCode>
                <c:ptCount val="10"/>
                <c:pt idx="0">
                  <c:v>0.20428028843507459</c:v>
                </c:pt>
                <c:pt idx="1">
                  <c:v>0.22529492035008541</c:v>
                </c:pt>
                <c:pt idx="2">
                  <c:v>0.25374642155743943</c:v>
                </c:pt>
                <c:pt idx="3">
                  <c:v>0.28586571089574714</c:v>
                </c:pt>
                <c:pt idx="4">
                  <c:v>0.32209441453347915</c:v>
                </c:pt>
                <c:pt idx="5">
                  <c:v>0.36292569236271982</c:v>
                </c:pt>
                <c:pt idx="6">
                  <c:v>0.40891015910793815</c:v>
                </c:pt>
                <c:pt idx="7">
                  <c:v>0.46066248038791485</c:v>
                </c:pt>
                <c:pt idx="8">
                  <c:v>0.51886872035263065</c:v>
                </c:pt>
                <c:pt idx="9">
                  <c:v>0.58429452619626865</c:v>
                </c:pt>
              </c:numCache>
            </c:numRef>
          </c:cat>
          <c:val>
            <c:numRef>
              <c:f>'FC e Ix'!$C$38:$L$38</c:f>
              <c:numCache>
                <c:formatCode>0.000000</c:formatCode>
                <c:ptCount val="10"/>
                <c:pt idx="0">
                  <c:v>0.17149906599597056</c:v>
                </c:pt>
                <c:pt idx="1">
                  <c:v>0.21139078598319525</c:v>
                </c:pt>
                <c:pt idx="2">
                  <c:v>0.26760220273764507</c:v>
                </c:pt>
                <c:pt idx="3">
                  <c:v>0.32709215862346397</c:v>
                </c:pt>
                <c:pt idx="4">
                  <c:v>0.37742177384214304</c:v>
                </c:pt>
                <c:pt idx="5">
                  <c:v>0.39894156201144687</c:v>
                </c:pt>
                <c:pt idx="6">
                  <c:v>0.37128179936645345</c:v>
                </c:pt>
                <c:pt idx="7">
                  <c:v>0.28885701366145228</c:v>
                </c:pt>
                <c:pt idx="8">
                  <c:v>0.17561265999618653</c:v>
                </c:pt>
                <c:pt idx="9">
                  <c:v>7.6461354212726831E-2</c:v>
                </c:pt>
              </c:numCache>
            </c:numRef>
          </c:val>
          <c:extLst>
            <c:ext xmlns:c16="http://schemas.microsoft.com/office/drawing/2014/chart" uri="{C3380CC4-5D6E-409C-BE32-E72D297353CC}">
              <c16:uniqueId val="{00000000-5EEB-4AD2-8DEE-842C7CE0112A}"/>
            </c:ext>
          </c:extLst>
        </c:ser>
        <c:ser>
          <c:idx val="1"/>
          <c:order val="1"/>
          <c:spPr>
            <a:solidFill>
              <a:schemeClr val="accent2"/>
            </a:solidFill>
            <a:ln>
              <a:noFill/>
            </a:ln>
            <a:effectLst/>
          </c:spPr>
          <c:invertIfNegative val="0"/>
          <c:dLbls>
            <c:delete val="1"/>
          </c:dLbls>
          <c:cat>
            <c:numRef>
              <c:f>'FC e Ix'!$M$36:$N$36</c:f>
              <c:numCache>
                <c:formatCode>0.00%</c:formatCode>
                <c:ptCount val="2"/>
                <c:pt idx="0" formatCode="0%">
                  <c:v>0.2</c:v>
                </c:pt>
                <c:pt idx="1">
                  <c:v>0.26350770701153103</c:v>
                </c:pt>
              </c:numCache>
            </c:numRef>
          </c:cat>
          <c:val>
            <c:numRef>
              <c:f>'FC e Ix'!$M$38:$N$38</c:f>
              <c:numCache>
                <c:formatCode>0.000000</c:formatCode>
                <c:ptCount val="2"/>
                <c:pt idx="0">
                  <c:v>0.16374976398502517</c:v>
                </c:pt>
                <c:pt idx="1">
                  <c:v>0.28653196159498689</c:v>
                </c:pt>
              </c:numCache>
            </c:numRef>
          </c:val>
          <c:extLst>
            <c:ext xmlns:c16="http://schemas.microsoft.com/office/drawing/2014/chart" uri="{C3380CC4-5D6E-409C-BE32-E72D297353CC}">
              <c16:uniqueId val="{00000001-5EEB-4AD2-8DEE-842C7CE0112A}"/>
            </c:ext>
          </c:extLst>
        </c:ser>
        <c:dLbls>
          <c:dLblPos val="outEnd"/>
          <c:showLegendKey val="0"/>
          <c:showVal val="1"/>
          <c:showCatName val="0"/>
          <c:showSerName val="0"/>
          <c:showPercent val="0"/>
          <c:showBubbleSize val="0"/>
        </c:dLbls>
        <c:gapWidth val="150"/>
        <c:axId val="1375287200"/>
        <c:axId val="1375285280"/>
      </c:barChart>
      <c:catAx>
        <c:axId val="1375287200"/>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75285280"/>
        <c:crosses val="autoZero"/>
        <c:auto val="1"/>
        <c:lblAlgn val="ctr"/>
        <c:lblOffset val="100"/>
        <c:noMultiLvlLbl val="0"/>
      </c:catAx>
      <c:valAx>
        <c:axId val="137528528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7528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5682567804024498"/>
                  <c:y val="-2.968038663961934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xVal>
            <c:numRef>
              <c:f>Sens!$C$5:$E$5</c:f>
              <c:numCache>
                <c:formatCode>0%</c:formatCode>
                <c:ptCount val="3"/>
                <c:pt idx="0">
                  <c:v>1.1000000000000001</c:v>
                </c:pt>
                <c:pt idx="1">
                  <c:v>1</c:v>
                </c:pt>
                <c:pt idx="2">
                  <c:v>0.9</c:v>
                </c:pt>
              </c:numCache>
            </c:numRef>
          </c:xVal>
          <c:yVal>
            <c:numRef>
              <c:f>Sens!$C$6:$E$6</c:f>
              <c:numCache>
                <c:formatCode>0.00%</c:formatCode>
                <c:ptCount val="3"/>
                <c:pt idx="0">
                  <c:v>0.2838</c:v>
                </c:pt>
                <c:pt idx="1">
                  <c:v>0.24399999999999999</c:v>
                </c:pt>
                <c:pt idx="2">
                  <c:v>0.20169999999999999</c:v>
                </c:pt>
              </c:numCache>
            </c:numRef>
          </c:yVal>
          <c:smooth val="0"/>
          <c:extLst>
            <c:ext xmlns:c16="http://schemas.microsoft.com/office/drawing/2014/chart" uri="{C3380CC4-5D6E-409C-BE32-E72D297353CC}">
              <c16:uniqueId val="{00000000-CE85-4C2D-AC8D-83557C7C58D2}"/>
            </c:ext>
          </c:extLst>
        </c:ser>
        <c:dLbls>
          <c:showLegendKey val="0"/>
          <c:showVal val="0"/>
          <c:showCatName val="0"/>
          <c:showSerName val="0"/>
          <c:showPercent val="0"/>
          <c:showBubbleSize val="0"/>
        </c:dLbls>
        <c:axId val="2008611391"/>
        <c:axId val="2008628671"/>
      </c:scatterChart>
      <c:valAx>
        <c:axId val="2008611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Var</a:t>
                </a:r>
                <a:r>
                  <a:rPr lang="es-MX" baseline="0"/>
                  <a:t> Q</a:t>
                </a:r>
                <a:endParaRPr lang="es-MX"/>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08628671"/>
        <c:crosses val="autoZero"/>
        <c:crossBetween val="midCat"/>
      </c:valAx>
      <c:valAx>
        <c:axId val="20086286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Var TIR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008611391"/>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985398075240595"/>
                  <c:y val="-4.559761201235774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xVal>
            <c:numRef>
              <c:f>Sens!$C$10:$E$10</c:f>
              <c:numCache>
                <c:formatCode>0%</c:formatCode>
                <c:ptCount val="3"/>
                <c:pt idx="0">
                  <c:v>1.1000000000000001</c:v>
                </c:pt>
                <c:pt idx="1">
                  <c:v>1</c:v>
                </c:pt>
                <c:pt idx="2">
                  <c:v>0.9</c:v>
                </c:pt>
              </c:numCache>
            </c:numRef>
          </c:xVal>
          <c:yVal>
            <c:numRef>
              <c:f>Sens!$C$11:$E$11</c:f>
              <c:numCache>
                <c:formatCode>0.00%</c:formatCode>
                <c:ptCount val="3"/>
                <c:pt idx="0">
                  <c:v>0.31929999999999997</c:v>
                </c:pt>
                <c:pt idx="1">
                  <c:v>0.24399999999999999</c:v>
                </c:pt>
                <c:pt idx="2">
                  <c:v>0.15920000000000001</c:v>
                </c:pt>
              </c:numCache>
            </c:numRef>
          </c:yVal>
          <c:smooth val="0"/>
          <c:extLst>
            <c:ext xmlns:c16="http://schemas.microsoft.com/office/drawing/2014/chart" uri="{C3380CC4-5D6E-409C-BE32-E72D297353CC}">
              <c16:uniqueId val="{00000000-0108-4046-9EFB-3883C716C82A}"/>
            </c:ext>
          </c:extLst>
        </c:ser>
        <c:dLbls>
          <c:showLegendKey val="0"/>
          <c:showVal val="0"/>
          <c:showCatName val="0"/>
          <c:showSerName val="0"/>
          <c:showPercent val="0"/>
          <c:showBubbleSize val="0"/>
        </c:dLbls>
        <c:axId val="686481791"/>
        <c:axId val="686479871"/>
      </c:scatterChart>
      <c:valAx>
        <c:axId val="68648179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86479871"/>
        <c:crosses val="autoZero"/>
        <c:crossBetween val="midCat"/>
      </c:valAx>
      <c:valAx>
        <c:axId val="686479871"/>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8648179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891590113735783"/>
                  <c:y val="-2.095526171898657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xVal>
            <c:numRef>
              <c:f>Sens!$C$15:$E$15</c:f>
              <c:numCache>
                <c:formatCode>0%</c:formatCode>
                <c:ptCount val="3"/>
                <c:pt idx="0">
                  <c:v>0.9</c:v>
                </c:pt>
                <c:pt idx="1">
                  <c:v>1</c:v>
                </c:pt>
                <c:pt idx="2">
                  <c:v>1.1000000000000001</c:v>
                </c:pt>
              </c:numCache>
            </c:numRef>
          </c:xVal>
          <c:yVal>
            <c:numRef>
              <c:f>Sens!$C$16:$E$16</c:f>
              <c:numCache>
                <c:formatCode>0.00%</c:formatCode>
                <c:ptCount val="3"/>
                <c:pt idx="0">
                  <c:v>0.25979999999999998</c:v>
                </c:pt>
                <c:pt idx="1">
                  <c:v>0.24399999999999999</c:v>
                </c:pt>
                <c:pt idx="2">
                  <c:v>0.2278</c:v>
                </c:pt>
              </c:numCache>
            </c:numRef>
          </c:yVal>
          <c:smooth val="0"/>
          <c:extLst>
            <c:ext xmlns:c16="http://schemas.microsoft.com/office/drawing/2014/chart" uri="{C3380CC4-5D6E-409C-BE32-E72D297353CC}">
              <c16:uniqueId val="{00000000-53E7-46BE-AEA4-BF16BE674766}"/>
            </c:ext>
          </c:extLst>
        </c:ser>
        <c:dLbls>
          <c:showLegendKey val="0"/>
          <c:showVal val="0"/>
          <c:showCatName val="0"/>
          <c:showSerName val="0"/>
          <c:showPercent val="0"/>
          <c:showBubbleSize val="0"/>
        </c:dLbls>
        <c:axId val="707417263"/>
        <c:axId val="707420623"/>
      </c:scatterChart>
      <c:valAx>
        <c:axId val="70741726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07420623"/>
        <c:crosses val="autoZero"/>
        <c:crossBetween val="midCat"/>
      </c:valAx>
      <c:valAx>
        <c:axId val="707420623"/>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074172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trendlineLbl>
          </c:trendline>
          <c:xVal>
            <c:numRef>
              <c:f>Sens!$C$20:$E$20</c:f>
              <c:numCache>
                <c:formatCode>0%</c:formatCode>
                <c:ptCount val="3"/>
                <c:pt idx="0">
                  <c:v>0.9</c:v>
                </c:pt>
                <c:pt idx="1">
                  <c:v>1</c:v>
                </c:pt>
                <c:pt idx="2">
                  <c:v>1.1000000000000001</c:v>
                </c:pt>
              </c:numCache>
            </c:numRef>
          </c:xVal>
          <c:yVal>
            <c:numRef>
              <c:f>Sens!$C$21:$E$21</c:f>
              <c:numCache>
                <c:formatCode>0.00%</c:formatCode>
                <c:ptCount val="3"/>
                <c:pt idx="0">
                  <c:v>0.26350000000000001</c:v>
                </c:pt>
                <c:pt idx="1">
                  <c:v>0.24399999999999999</c:v>
                </c:pt>
                <c:pt idx="2">
                  <c:v>0.22389999999999999</c:v>
                </c:pt>
              </c:numCache>
            </c:numRef>
          </c:yVal>
          <c:smooth val="0"/>
          <c:extLst>
            <c:ext xmlns:c16="http://schemas.microsoft.com/office/drawing/2014/chart" uri="{C3380CC4-5D6E-409C-BE32-E72D297353CC}">
              <c16:uniqueId val="{00000000-C7C9-47C8-8665-FFFC90AE2E98}"/>
            </c:ext>
          </c:extLst>
        </c:ser>
        <c:dLbls>
          <c:showLegendKey val="0"/>
          <c:showVal val="0"/>
          <c:showCatName val="0"/>
          <c:showSerName val="0"/>
          <c:showPercent val="0"/>
          <c:showBubbleSize val="0"/>
        </c:dLbls>
        <c:axId val="1291894719"/>
        <c:axId val="1291886079"/>
      </c:scatterChart>
      <c:valAx>
        <c:axId val="1291894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Var % MDF</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91886079"/>
        <c:crosses val="autoZero"/>
        <c:crossBetween val="midCat"/>
      </c:valAx>
      <c:valAx>
        <c:axId val="12918860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MX"/>
                  <a:t>Var % TIR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MX"/>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918947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ustomXml" Target="../ink/ink5.xml"/><Relationship Id="rId13" Type="http://schemas.openxmlformats.org/officeDocument/2006/relationships/chart" Target="../charts/chart6.xml"/><Relationship Id="rId3" Type="http://schemas.openxmlformats.org/officeDocument/2006/relationships/image" Target="../media/image10.png"/><Relationship Id="rId7" Type="http://schemas.openxmlformats.org/officeDocument/2006/relationships/customXml" Target="../ink/ink4.xml"/><Relationship Id="rId12" Type="http://schemas.openxmlformats.org/officeDocument/2006/relationships/chart" Target="../charts/chart5.xml"/><Relationship Id="rId1" Type="http://schemas.openxmlformats.org/officeDocument/2006/relationships/customXml" Target="../ink/ink1.xml"/><Relationship Id="rId6" Type="http://schemas.openxmlformats.org/officeDocument/2006/relationships/customXml" Target="../ink/ink3.xml"/><Relationship Id="rId11" Type="http://schemas.openxmlformats.org/officeDocument/2006/relationships/chart" Target="../charts/chart4.xml"/><Relationship Id="rId5" Type="http://schemas.openxmlformats.org/officeDocument/2006/relationships/image" Target="../media/image20.png"/><Relationship Id="rId10" Type="http://schemas.openxmlformats.org/officeDocument/2006/relationships/chart" Target="../charts/chart3.xml"/><Relationship Id="rId4" Type="http://schemas.openxmlformats.org/officeDocument/2006/relationships/customXml" Target="../ink/ink2.xml"/><Relationship Id="rId9" Type="http://schemas.openxmlformats.org/officeDocument/2006/relationships/customXml" Target="../ink/ink6.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67235</xdr:colOff>
      <xdr:row>60</xdr:row>
      <xdr:rowOff>34457</xdr:rowOff>
    </xdr:from>
    <xdr:to>
      <xdr:col>140</xdr:col>
      <xdr:colOff>143435</xdr:colOff>
      <xdr:row>74</xdr:row>
      <xdr:rowOff>88245</xdr:rowOff>
    </xdr:to>
    <xdr:graphicFrame macro="">
      <xdr:nvGraphicFramePr>
        <xdr:cNvPr id="3" name="Gráfico 2">
          <a:extLst>
            <a:ext uri="{FF2B5EF4-FFF2-40B4-BE49-F238E27FC236}">
              <a16:creationId xmlns:a16="http://schemas.microsoft.com/office/drawing/2014/main" id="{5FBBB64B-64E7-495C-BDEF-C2FA0A1E7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902072</xdr:colOff>
      <xdr:row>38</xdr:row>
      <xdr:rowOff>34738</xdr:rowOff>
    </xdr:from>
    <xdr:to>
      <xdr:col>8</xdr:col>
      <xdr:colOff>857249</xdr:colOff>
      <xdr:row>52</xdr:row>
      <xdr:rowOff>110938</xdr:rowOff>
    </xdr:to>
    <xdr:graphicFrame macro="">
      <xdr:nvGraphicFramePr>
        <xdr:cNvPr id="7" name="Gráfico 6">
          <a:extLst>
            <a:ext uri="{FF2B5EF4-FFF2-40B4-BE49-F238E27FC236}">
              <a16:creationId xmlns:a16="http://schemas.microsoft.com/office/drawing/2014/main" id="{A12BD43F-7CCB-4A5D-3AE8-CFB23909C9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8</xdr:row>
      <xdr:rowOff>41280</xdr:rowOff>
    </xdr:from>
    <xdr:to>
      <xdr:col>1</xdr:col>
      <xdr:colOff>1440</xdr:colOff>
      <xdr:row>8</xdr:row>
      <xdr:rowOff>41640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3" name="Entrada de lápiz 2">
              <a:extLst>
                <a:ext uri="{FF2B5EF4-FFF2-40B4-BE49-F238E27FC236}">
                  <a16:creationId xmlns:a16="http://schemas.microsoft.com/office/drawing/2014/main" id="{69339D1A-EC01-4B29-8250-05C533924BD1}"/>
                </a:ext>
              </a:extLst>
            </xdr14:cNvPr>
            <xdr14:cNvContentPartPr/>
          </xdr14:nvContentPartPr>
          <xdr14:nvPr macro=""/>
          <xdr14:xfrm>
            <a:off x="2208240" y="1565280"/>
            <a:ext cx="1440" cy="360"/>
          </xdr14:xfrm>
        </xdr:contentPart>
      </mc:Choice>
      <mc:Fallback xmlns="">
        <xdr:pic>
          <xdr:nvPicPr>
            <xdr:cNvPr id="21" name="Entrada de lápiz 20">
              <a:extLst>
                <a:ext uri="{FF2B5EF4-FFF2-40B4-BE49-F238E27FC236}">
                  <a16:creationId xmlns:a16="http://schemas.microsoft.com/office/drawing/2014/main" id="{26ECB0C7-6929-7176-45D7-FB98C0BC689B}"/>
                </a:ext>
              </a:extLst>
            </xdr:cNvPr>
            <xdr:cNvPicPr/>
          </xdr:nvPicPr>
          <xdr:blipFill>
            <a:blip xmlns:r="http://schemas.openxmlformats.org/officeDocument/2006/relationships" r:embed="rId3"/>
            <a:stretch>
              <a:fillRect/>
            </a:stretch>
          </xdr:blipFill>
          <xdr:spPr>
            <a:xfrm>
              <a:off x="2203920" y="1560960"/>
              <a:ext cx="10080" cy="9000"/>
            </a:xfrm>
            <a:prstGeom prst="rect">
              <a:avLst/>
            </a:prstGeom>
          </xdr:spPr>
        </xdr:pic>
      </mc:Fallback>
    </mc:AlternateContent>
    <xdr:clientData/>
  </xdr:twoCellAnchor>
  <xdr:twoCellAnchor editAs="oneCell">
    <xdr:from>
      <xdr:col>1</xdr:col>
      <xdr:colOff>0</xdr:colOff>
      <xdr:row>12</xdr:row>
      <xdr:rowOff>130680</xdr:rowOff>
    </xdr:from>
    <xdr:to>
      <xdr:col>1</xdr:col>
      <xdr:colOff>360</xdr:colOff>
      <xdr:row>12</xdr:row>
      <xdr:rowOff>131040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Entrada de lápiz 3">
              <a:extLst>
                <a:ext uri="{FF2B5EF4-FFF2-40B4-BE49-F238E27FC236}">
                  <a16:creationId xmlns:a16="http://schemas.microsoft.com/office/drawing/2014/main" id="{F4C308B7-87D9-49EA-B52D-30C69BABDBB5}"/>
                </a:ext>
              </a:extLst>
            </xdr14:cNvPr>
            <xdr14:cNvContentPartPr/>
          </xdr14:nvContentPartPr>
          <xdr14:nvPr macro=""/>
          <xdr14:xfrm>
            <a:off x="4232520" y="2416680"/>
            <a:ext cx="360" cy="360"/>
          </xdr14:xfrm>
        </xdr:contentPart>
      </mc:Choice>
      <mc:Fallback xmlns="">
        <xdr:pic>
          <xdr:nvPicPr>
            <xdr:cNvPr id="22" name="Entrada de lápiz 21">
              <a:extLst>
                <a:ext uri="{FF2B5EF4-FFF2-40B4-BE49-F238E27FC236}">
                  <a16:creationId xmlns:a16="http://schemas.microsoft.com/office/drawing/2014/main" id="{3660879C-8A25-3DD9-75AF-D367AFB0BD56}"/>
                </a:ext>
              </a:extLst>
            </xdr:cNvPr>
            <xdr:cNvPicPr/>
          </xdr:nvPicPr>
          <xdr:blipFill>
            <a:blip xmlns:r="http://schemas.openxmlformats.org/officeDocument/2006/relationships" r:embed="rId5"/>
            <a:stretch>
              <a:fillRect/>
            </a:stretch>
          </xdr:blipFill>
          <xdr:spPr>
            <a:xfrm>
              <a:off x="4228200" y="2412360"/>
              <a:ext cx="9000" cy="9000"/>
            </a:xfrm>
            <a:prstGeom prst="rect">
              <a:avLst/>
            </a:prstGeom>
          </xdr:spPr>
        </xdr:pic>
      </mc:Fallback>
    </mc:AlternateContent>
    <xdr:clientData/>
  </xdr:twoCellAnchor>
  <xdr:twoCellAnchor editAs="oneCell">
    <xdr:from>
      <xdr:col>1</xdr:col>
      <xdr:colOff>0</xdr:colOff>
      <xdr:row>14</xdr:row>
      <xdr:rowOff>35520</xdr:rowOff>
    </xdr:from>
    <xdr:to>
      <xdr:col>1</xdr:col>
      <xdr:colOff>360</xdr:colOff>
      <xdr:row>14</xdr:row>
      <xdr:rowOff>35880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5" name="Entrada de lápiz 4">
              <a:extLst>
                <a:ext uri="{FF2B5EF4-FFF2-40B4-BE49-F238E27FC236}">
                  <a16:creationId xmlns:a16="http://schemas.microsoft.com/office/drawing/2014/main" id="{CEC42994-732E-46C6-B16D-204C4E827387}"/>
                </a:ext>
              </a:extLst>
            </xdr14:cNvPr>
            <xdr14:cNvContentPartPr/>
          </xdr14:nvContentPartPr>
          <xdr14:nvPr macro=""/>
          <xdr14:xfrm>
            <a:off x="3851280" y="2702520"/>
            <a:ext cx="360" cy="360"/>
          </xdr14:xfrm>
        </xdr:contentPart>
      </mc:Choice>
      <mc:Fallback xmlns="">
        <xdr:pic>
          <xdr:nvPicPr>
            <xdr:cNvPr id="23" name="Entrada de lápiz 22">
              <a:extLst>
                <a:ext uri="{FF2B5EF4-FFF2-40B4-BE49-F238E27FC236}">
                  <a16:creationId xmlns:a16="http://schemas.microsoft.com/office/drawing/2014/main" id="{2AA52733-3B53-CD78-2EF2-D6960BF8660E}"/>
                </a:ext>
              </a:extLst>
            </xdr:cNvPr>
            <xdr:cNvPicPr/>
          </xdr:nvPicPr>
          <xdr:blipFill>
            <a:blip xmlns:r="http://schemas.openxmlformats.org/officeDocument/2006/relationships" r:embed="rId5"/>
            <a:stretch>
              <a:fillRect/>
            </a:stretch>
          </xdr:blipFill>
          <xdr:spPr>
            <a:xfrm>
              <a:off x="3846960" y="2698200"/>
              <a:ext cx="9000" cy="9000"/>
            </a:xfrm>
            <a:prstGeom prst="rect">
              <a:avLst/>
            </a:prstGeom>
          </xdr:spPr>
        </xdr:pic>
      </mc:Fallback>
    </mc:AlternateContent>
    <xdr:clientData/>
  </xdr:twoCellAnchor>
  <xdr:oneCellAnchor>
    <xdr:from>
      <xdr:col>1</xdr:col>
      <xdr:colOff>0</xdr:colOff>
      <xdr:row>14</xdr:row>
      <xdr:rowOff>41280</xdr:rowOff>
    </xdr:from>
    <xdr:ext cx="1440"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6" name="Entrada de lápiz 5">
              <a:extLst>
                <a:ext uri="{FF2B5EF4-FFF2-40B4-BE49-F238E27FC236}">
                  <a16:creationId xmlns:a16="http://schemas.microsoft.com/office/drawing/2014/main" id="{764A9063-DD85-4D7F-99D2-42BA0FBA951A}"/>
                </a:ext>
              </a:extLst>
            </xdr14:cNvPr>
            <xdr14:cNvContentPartPr/>
          </xdr14:nvContentPartPr>
          <xdr14:nvPr macro=""/>
          <xdr14:xfrm>
            <a:off x="2208240" y="1565280"/>
            <a:ext cx="1440" cy="360"/>
          </xdr14:xfrm>
        </xdr:contentPart>
      </mc:Choice>
      <mc:Fallback xmlns="">
        <xdr:pic>
          <xdr:nvPicPr>
            <xdr:cNvPr id="24" name="Entrada de lápiz 23">
              <a:extLst>
                <a:ext uri="{FF2B5EF4-FFF2-40B4-BE49-F238E27FC236}">
                  <a16:creationId xmlns:a16="http://schemas.microsoft.com/office/drawing/2014/main" id="{4DA65C61-14B2-45A5-9D6C-2684413D090D}"/>
                </a:ext>
              </a:extLst>
            </xdr:cNvPr>
            <xdr:cNvPicPr/>
          </xdr:nvPicPr>
          <xdr:blipFill>
            <a:blip xmlns:r="http://schemas.openxmlformats.org/officeDocument/2006/relationships" r:embed="rId3"/>
            <a:stretch>
              <a:fillRect/>
            </a:stretch>
          </xdr:blipFill>
          <xdr:spPr>
            <a:xfrm>
              <a:off x="2203920" y="1560960"/>
              <a:ext cx="10080" cy="9000"/>
            </a:xfrm>
            <a:prstGeom prst="rect">
              <a:avLst/>
            </a:prstGeom>
          </xdr:spPr>
        </xdr:pic>
      </mc:Fallback>
    </mc:AlternateContent>
    <xdr:clientData/>
  </xdr:oneCellAnchor>
  <xdr:oneCellAnchor>
    <xdr:from>
      <xdr:col>1</xdr:col>
      <xdr:colOff>0</xdr:colOff>
      <xdr:row>20</xdr:row>
      <xdr:rowOff>41280</xdr:rowOff>
    </xdr:from>
    <xdr:ext cx="1440"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7" name="Entrada de lápiz 6">
              <a:extLst>
                <a:ext uri="{FF2B5EF4-FFF2-40B4-BE49-F238E27FC236}">
                  <a16:creationId xmlns:a16="http://schemas.microsoft.com/office/drawing/2014/main" id="{1ACFDC6E-5DE7-41C5-9FF0-9E1F24207005}"/>
                </a:ext>
              </a:extLst>
            </xdr14:cNvPr>
            <xdr14:cNvContentPartPr/>
          </xdr14:nvContentPartPr>
          <xdr14:nvPr macro=""/>
          <xdr14:xfrm>
            <a:off x="2208240" y="1565280"/>
            <a:ext cx="1440" cy="360"/>
          </xdr14:xfrm>
        </xdr:contentPart>
      </mc:Choice>
      <mc:Fallback xmlns="">
        <xdr:pic>
          <xdr:nvPicPr>
            <xdr:cNvPr id="25" name="Entrada de lápiz 24">
              <a:extLst>
                <a:ext uri="{FF2B5EF4-FFF2-40B4-BE49-F238E27FC236}">
                  <a16:creationId xmlns:a16="http://schemas.microsoft.com/office/drawing/2014/main" id="{405F2E6A-C650-4AC9-86A5-B9291EA877CF}"/>
                </a:ext>
              </a:extLst>
            </xdr:cNvPr>
            <xdr:cNvPicPr/>
          </xdr:nvPicPr>
          <xdr:blipFill>
            <a:blip xmlns:r="http://schemas.openxmlformats.org/officeDocument/2006/relationships" r:embed="rId3"/>
            <a:stretch>
              <a:fillRect/>
            </a:stretch>
          </xdr:blipFill>
          <xdr:spPr>
            <a:xfrm>
              <a:off x="2203920" y="1560960"/>
              <a:ext cx="10080" cy="9000"/>
            </a:xfrm>
            <a:prstGeom prst="rect">
              <a:avLst/>
            </a:prstGeom>
          </xdr:spPr>
        </xdr:pic>
      </mc:Fallback>
    </mc:AlternateContent>
    <xdr:clientData/>
  </xdr:oneCellAnchor>
  <xdr:oneCellAnchor>
    <xdr:from>
      <xdr:col>1</xdr:col>
      <xdr:colOff>0</xdr:colOff>
      <xdr:row>26</xdr:row>
      <xdr:rowOff>41280</xdr:rowOff>
    </xdr:from>
    <xdr:ext cx="1440"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8" name="Entrada de lápiz 7">
              <a:extLst>
                <a:ext uri="{FF2B5EF4-FFF2-40B4-BE49-F238E27FC236}">
                  <a16:creationId xmlns:a16="http://schemas.microsoft.com/office/drawing/2014/main" id="{97E100EA-924C-4C3F-8C47-D94A917F8861}"/>
                </a:ext>
              </a:extLst>
            </xdr14:cNvPr>
            <xdr14:cNvContentPartPr/>
          </xdr14:nvContentPartPr>
          <xdr14:nvPr macro=""/>
          <xdr14:xfrm>
            <a:off x="2208240" y="1565280"/>
            <a:ext cx="1440" cy="360"/>
          </xdr14:xfrm>
        </xdr:contentPart>
      </mc:Choice>
      <mc:Fallback xmlns="">
        <xdr:pic>
          <xdr:nvPicPr>
            <xdr:cNvPr id="26" name="Entrada de lápiz 25">
              <a:extLst>
                <a:ext uri="{FF2B5EF4-FFF2-40B4-BE49-F238E27FC236}">
                  <a16:creationId xmlns:a16="http://schemas.microsoft.com/office/drawing/2014/main" id="{FD7350A2-FF36-4729-A598-C1B1827610E3}"/>
                </a:ext>
              </a:extLst>
            </xdr:cNvPr>
            <xdr:cNvPicPr/>
          </xdr:nvPicPr>
          <xdr:blipFill>
            <a:blip xmlns:r="http://schemas.openxmlformats.org/officeDocument/2006/relationships" r:embed="rId3"/>
            <a:stretch>
              <a:fillRect/>
            </a:stretch>
          </xdr:blipFill>
          <xdr:spPr>
            <a:xfrm>
              <a:off x="2203920" y="1560960"/>
              <a:ext cx="10080" cy="9000"/>
            </a:xfrm>
            <a:prstGeom prst="rect">
              <a:avLst/>
            </a:prstGeom>
          </xdr:spPr>
        </xdr:pic>
      </mc:Fallback>
    </mc:AlternateContent>
    <xdr:clientData/>
  </xdr:oneCellAnchor>
  <xdr:twoCellAnchor>
    <xdr:from>
      <xdr:col>5</xdr:col>
      <xdr:colOff>337038</xdr:colOff>
      <xdr:row>1</xdr:row>
      <xdr:rowOff>58616</xdr:rowOff>
    </xdr:from>
    <xdr:to>
      <xdr:col>11</xdr:col>
      <xdr:colOff>196361</xdr:colOff>
      <xdr:row>5</xdr:row>
      <xdr:rowOff>175846</xdr:rowOff>
    </xdr:to>
    <xdr:graphicFrame macro="">
      <xdr:nvGraphicFramePr>
        <xdr:cNvPr id="10" name="Gráfico 9">
          <a:extLst>
            <a:ext uri="{FF2B5EF4-FFF2-40B4-BE49-F238E27FC236}">
              <a16:creationId xmlns:a16="http://schemas.microsoft.com/office/drawing/2014/main" id="{D7C0A6F6-A984-53A4-C984-48F5F14D7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348762</xdr:colOff>
      <xdr:row>6</xdr:row>
      <xdr:rowOff>87923</xdr:rowOff>
    </xdr:from>
    <xdr:to>
      <xdr:col>11</xdr:col>
      <xdr:colOff>208085</xdr:colOff>
      <xdr:row>11</xdr:row>
      <xdr:rowOff>29308</xdr:rowOff>
    </xdr:to>
    <xdr:graphicFrame macro="">
      <xdr:nvGraphicFramePr>
        <xdr:cNvPr id="14" name="Gráfico 13">
          <a:extLst>
            <a:ext uri="{FF2B5EF4-FFF2-40B4-BE49-F238E27FC236}">
              <a16:creationId xmlns:a16="http://schemas.microsoft.com/office/drawing/2014/main" id="{BA8A8AA4-2FBB-F417-7B0F-2B849B687A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348762</xdr:colOff>
      <xdr:row>12</xdr:row>
      <xdr:rowOff>52754</xdr:rowOff>
    </xdr:from>
    <xdr:to>
      <xdr:col>11</xdr:col>
      <xdr:colOff>208085</xdr:colOff>
      <xdr:row>18</xdr:row>
      <xdr:rowOff>134815</xdr:rowOff>
    </xdr:to>
    <xdr:graphicFrame macro="">
      <xdr:nvGraphicFramePr>
        <xdr:cNvPr id="15" name="Gráfico 14">
          <a:extLst>
            <a:ext uri="{FF2B5EF4-FFF2-40B4-BE49-F238E27FC236}">
              <a16:creationId xmlns:a16="http://schemas.microsoft.com/office/drawing/2014/main" id="{59154643-3729-A80C-80AE-491881F48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196361</xdr:colOff>
      <xdr:row>19</xdr:row>
      <xdr:rowOff>52754</xdr:rowOff>
    </xdr:from>
    <xdr:to>
      <xdr:col>11</xdr:col>
      <xdr:colOff>181708</xdr:colOff>
      <xdr:row>26</xdr:row>
      <xdr:rowOff>70338</xdr:rowOff>
    </xdr:to>
    <xdr:graphicFrame macro="">
      <xdr:nvGraphicFramePr>
        <xdr:cNvPr id="2" name="Gráfico 1">
          <a:extLst>
            <a:ext uri="{FF2B5EF4-FFF2-40B4-BE49-F238E27FC236}">
              <a16:creationId xmlns:a16="http://schemas.microsoft.com/office/drawing/2014/main" id="{13A2E5D2-6D5D-E027-9BDB-A108F3E40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33</xdr:col>
      <xdr:colOff>750794</xdr:colOff>
      <xdr:row>0</xdr:row>
      <xdr:rowOff>0</xdr:rowOff>
    </xdr:from>
    <xdr:to>
      <xdr:col>46</xdr:col>
      <xdr:colOff>6112</xdr:colOff>
      <xdr:row>44</xdr:row>
      <xdr:rowOff>141212</xdr:rowOff>
    </xdr:to>
    <xdr:pic>
      <xdr:nvPicPr>
        <xdr:cNvPr id="3" name="Imagen 2">
          <a:extLst>
            <a:ext uri="{FF2B5EF4-FFF2-40B4-BE49-F238E27FC236}">
              <a16:creationId xmlns:a16="http://schemas.microsoft.com/office/drawing/2014/main" id="{E5FACE37-475A-49A7-B6D0-20EE625F424A}"/>
            </a:ext>
          </a:extLst>
        </xdr:cNvPr>
        <xdr:cNvPicPr>
          <a:picLocks noChangeAspect="1"/>
        </xdr:cNvPicPr>
      </xdr:nvPicPr>
      <xdr:blipFill>
        <a:blip xmlns:r="http://schemas.openxmlformats.org/officeDocument/2006/relationships" r:embed="rId1"/>
        <a:stretch>
          <a:fillRect/>
        </a:stretch>
      </xdr:blipFill>
      <xdr:spPr>
        <a:xfrm>
          <a:off x="24262773" y="0"/>
          <a:ext cx="9161318" cy="919862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658091</xdr:colOff>
      <xdr:row>16</xdr:row>
      <xdr:rowOff>34636</xdr:rowOff>
    </xdr:from>
    <xdr:to>
      <xdr:col>19</xdr:col>
      <xdr:colOff>147206</xdr:colOff>
      <xdr:row>64</xdr:row>
      <xdr:rowOff>47179</xdr:rowOff>
    </xdr:to>
    <xdr:pic>
      <xdr:nvPicPr>
        <xdr:cNvPr id="3" name="Imagen 2">
          <a:extLst>
            <a:ext uri="{FF2B5EF4-FFF2-40B4-BE49-F238E27FC236}">
              <a16:creationId xmlns:a16="http://schemas.microsoft.com/office/drawing/2014/main" id="{AB89AC22-918F-4AA6-9D03-4E8E9E8EF5C7}"/>
            </a:ext>
          </a:extLst>
        </xdr:cNvPr>
        <xdr:cNvPicPr>
          <a:picLocks noChangeAspect="1"/>
        </xdr:cNvPicPr>
      </xdr:nvPicPr>
      <xdr:blipFill>
        <a:blip xmlns:r="http://schemas.openxmlformats.org/officeDocument/2006/relationships" r:embed="rId1"/>
        <a:stretch>
          <a:fillRect/>
        </a:stretch>
      </xdr:blipFill>
      <xdr:spPr>
        <a:xfrm>
          <a:off x="5230091" y="3359727"/>
          <a:ext cx="9395115" cy="917386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1-24T15:55:02.583"/>
    </inkml:context>
    <inkml:brush xml:id="br0">
      <inkml:brushProperty name="width" value="0.025" units="cm"/>
      <inkml:brushProperty name="height" value="0.025" units="cm"/>
      <inkml:brushProperty name="color" value="#E71224"/>
    </inkml:brush>
  </inkml:definitions>
  <inkml:trace contextRef="#ctx0" brushRef="#br0">1 1 24575,'3'0'0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1-24T15:55:02.584"/>
    </inkml:context>
    <inkml:brush xml:id="br0">
      <inkml:brushProperty name="width" value="0.025" units="cm"/>
      <inkml:brushProperty name="height" value="0.025" units="cm"/>
      <inkml:brushProperty name="color" value="#E71224"/>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1-24T15:55:02.585"/>
    </inkml:context>
    <inkml:brush xml:id="br0">
      <inkml:brushProperty name="width" value="0.025" units="cm"/>
      <inkml:brushProperty name="height" value="0.025" units="cm"/>
      <inkml:brushProperty name="color" value="#E71224"/>
    </inkml:brush>
  </inkml:definitions>
  <inkml:trace contextRef="#ctx0" brushRef="#br0">1 0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1-24T15:55:02.586"/>
    </inkml:context>
    <inkml:brush xml:id="br0">
      <inkml:brushProperty name="width" value="0.025" units="cm"/>
      <inkml:brushProperty name="height" value="0.025" units="cm"/>
      <inkml:brushProperty name="color" value="#E71224"/>
    </inkml:brush>
  </inkml:definitions>
  <inkml:trace contextRef="#ctx0" brushRef="#br0">1 1 24575,'3'0'0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1-24T15:55:02.587"/>
    </inkml:context>
    <inkml:brush xml:id="br0">
      <inkml:brushProperty name="width" value="0.025" units="cm"/>
      <inkml:brushProperty name="height" value="0.025" units="cm"/>
      <inkml:brushProperty name="color" value="#E71224"/>
    </inkml:brush>
  </inkml:definitions>
  <inkml:trace contextRef="#ctx0" brushRef="#br0">1 1 24575,'3'0'0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11-24T15:55:02.588"/>
    </inkml:context>
    <inkml:brush xml:id="br0">
      <inkml:brushProperty name="width" value="0.025" units="cm"/>
      <inkml:brushProperty name="height" value="0.025" units="cm"/>
      <inkml:brushProperty name="color" value="#E71224"/>
    </inkml:brush>
  </inkml:definitions>
  <inkml:trace contextRef="#ctx0" brushRef="#br0">1 1 24575,'3'0'0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casadiaz.com.mx/articulos/1/maquinas-de-coser-industriales" TargetMode="External"/><Relationship Id="rId13" Type="http://schemas.openxmlformats.org/officeDocument/2006/relationships/hyperlink" Target="https://plasticflash.com/materiales-para-fabricar-mochilas/" TargetMode="External"/><Relationship Id="rId18" Type="http://schemas.openxmlformats.org/officeDocument/2006/relationships/hyperlink" Target="https://plasticflash.com/tienda/" TargetMode="External"/><Relationship Id="rId3" Type="http://schemas.openxmlformats.org/officeDocument/2006/relationships/hyperlink" Target="https://hogarmexicano.com.mx/mejores-marcas-de-maquinas-de-coser-industriales/" TargetMode="External"/><Relationship Id="rId21" Type="http://schemas.openxmlformats.org/officeDocument/2006/relationships/hyperlink" Target="https://plasticflash.com/materiales-para-fabricar-mochilas/" TargetMode="External"/><Relationship Id="rId7" Type="http://schemas.openxmlformats.org/officeDocument/2006/relationships/hyperlink" Target="https://hogarmexicano.com.mx/mejores-marcas-de-maquinas-de-coser-industriales/" TargetMode="External"/><Relationship Id="rId12" Type="http://schemas.openxmlformats.org/officeDocument/2006/relationships/hyperlink" Target="https://plasticflash.com/materiales-para-fabricar-mochilas/" TargetMode="External"/><Relationship Id="rId17" Type="http://schemas.openxmlformats.org/officeDocument/2006/relationships/hyperlink" Target="https://plasticflash.com/materiales-para-fabricar-mochilas/" TargetMode="External"/><Relationship Id="rId25" Type="http://schemas.openxmlformats.org/officeDocument/2006/relationships/hyperlink" Target="https://plasticflash.com/materiales-para-fabricar-mochilas/" TargetMode="External"/><Relationship Id="rId2" Type="http://schemas.openxmlformats.org/officeDocument/2006/relationships/hyperlink" Target="https://www.casarizo.com/" TargetMode="External"/><Relationship Id="rId16" Type="http://schemas.openxmlformats.org/officeDocument/2006/relationships/hyperlink" Target="https://plasticflash.com/tienda/" TargetMode="External"/><Relationship Id="rId20" Type="http://schemas.openxmlformats.org/officeDocument/2006/relationships/hyperlink" Target="https://fabricacionindustrial.com/como-se-fabrican-mochilas-el-proceso-de-produccion-paso-a-paso/" TargetMode="External"/><Relationship Id="rId1" Type="http://schemas.openxmlformats.org/officeDocument/2006/relationships/hyperlink" Target="https://hogarmexicano.com.mx/mejores-marcas-de-maquinas-de-coser-industriales/" TargetMode="External"/><Relationship Id="rId6" Type="http://schemas.openxmlformats.org/officeDocument/2006/relationships/hyperlink" Target="https://www.casarizo.com/" TargetMode="External"/><Relationship Id="rId11" Type="http://schemas.openxmlformats.org/officeDocument/2006/relationships/hyperlink" Target="https://fabricacionindustrial.com/como-se-fabrican-mochilas-el-proceso-de-produccion-paso-a-paso/" TargetMode="External"/><Relationship Id="rId24" Type="http://schemas.openxmlformats.org/officeDocument/2006/relationships/hyperlink" Target="https://plasticflash.com/tienda/" TargetMode="External"/><Relationship Id="rId5" Type="http://schemas.openxmlformats.org/officeDocument/2006/relationships/hyperlink" Target="https://hogarmexicano.com.mx/mejores-marcas-de-maquinas-de-coser-industriales/" TargetMode="External"/><Relationship Id="rId15" Type="http://schemas.openxmlformats.org/officeDocument/2006/relationships/hyperlink" Target="https://plasticflash.com/materiales-para-fabricar-mochilas/" TargetMode="External"/><Relationship Id="rId23" Type="http://schemas.openxmlformats.org/officeDocument/2006/relationships/hyperlink" Target="https://plasticflash.com/materiales-para-fabricar-mochilas/" TargetMode="External"/><Relationship Id="rId10" Type="http://schemas.openxmlformats.org/officeDocument/2006/relationships/hyperlink" Target="https://www.casarizo.com/" TargetMode="External"/><Relationship Id="rId19" Type="http://schemas.openxmlformats.org/officeDocument/2006/relationships/hyperlink" Target="https://plasticflash.com/materiales-para-fabricar-mochilas/" TargetMode="External"/><Relationship Id="rId4" Type="http://schemas.openxmlformats.org/officeDocument/2006/relationships/hyperlink" Target="https://www.casarizo.com/" TargetMode="External"/><Relationship Id="rId9" Type="http://schemas.openxmlformats.org/officeDocument/2006/relationships/hyperlink" Target="https://www.casadiaz.com.mx/articulos/1/maquinas-de-coser-industriales" TargetMode="External"/><Relationship Id="rId14" Type="http://schemas.openxmlformats.org/officeDocument/2006/relationships/hyperlink" Target="https://plasticflash.com/tienda/" TargetMode="External"/><Relationship Id="rId22" Type="http://schemas.openxmlformats.org/officeDocument/2006/relationships/hyperlink" Target="https://plasticflash.com/tienda/"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698F9-33DA-4BF3-9D77-9F1297098B86}">
  <dimension ref="A1:B7"/>
  <sheetViews>
    <sheetView workbookViewId="0"/>
  </sheetViews>
  <sheetFormatPr defaultColWidth="11.42578125" defaultRowHeight="14.45"/>
  <cols>
    <col min="1" max="1" width="24.85546875" style="21" bestFit="1" customWidth="1"/>
    <col min="2" max="2" width="57.140625" style="21" customWidth="1"/>
    <col min="3" max="16384" width="11.42578125" style="21"/>
  </cols>
  <sheetData>
    <row r="1" spans="1:2" ht="43.15">
      <c r="A1" s="19" t="s">
        <v>0</v>
      </c>
      <c r="B1" s="20" t="s">
        <v>1</v>
      </c>
    </row>
    <row r="2" spans="1:2" ht="57.6">
      <c r="A2" s="19" t="s">
        <v>2</v>
      </c>
      <c r="B2" s="20" t="s">
        <v>3</v>
      </c>
    </row>
    <row r="3" spans="1:2" ht="57.6">
      <c r="A3" s="19" t="s">
        <v>4</v>
      </c>
      <c r="B3" s="20" t="s">
        <v>5</v>
      </c>
    </row>
    <row r="4" spans="1:2" ht="43.15">
      <c r="A4" s="19" t="s">
        <v>6</v>
      </c>
      <c r="B4" s="20" t="s">
        <v>7</v>
      </c>
    </row>
    <row r="5" spans="1:2" ht="57.6">
      <c r="A5" s="19" t="s">
        <v>8</v>
      </c>
      <c r="B5" s="20" t="s">
        <v>9</v>
      </c>
    </row>
    <row r="6" spans="1:2" ht="43.15">
      <c r="A6" s="19" t="s">
        <v>10</v>
      </c>
      <c r="B6" s="20" t="s">
        <v>11</v>
      </c>
    </row>
    <row r="7" spans="1:2" ht="43.15">
      <c r="A7" s="19" t="s">
        <v>12</v>
      </c>
      <c r="B7" s="20"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FECFD-F559-4B30-98AD-686F75DEEF66}">
  <dimension ref="A1:AD341"/>
  <sheetViews>
    <sheetView topLeftCell="S1" zoomScale="102" zoomScaleNormal="70" workbookViewId="0">
      <selection activeCell="W24" sqref="W24"/>
    </sheetView>
  </sheetViews>
  <sheetFormatPr defaultColWidth="11.42578125" defaultRowHeight="14.45"/>
  <cols>
    <col min="1" max="1" width="11.42578125" style="2"/>
    <col min="2" max="2" width="13.28515625" style="2" bestFit="1" customWidth="1"/>
    <col min="3" max="3" width="37.85546875" style="2" bestFit="1" customWidth="1"/>
    <col min="4" max="10" width="11.42578125" style="2"/>
    <col min="11" max="11" width="13.28515625" style="2" bestFit="1" customWidth="1"/>
    <col min="12" max="12" width="22.85546875" style="2" customWidth="1"/>
    <col min="13" max="13" width="11.42578125" style="2"/>
    <col min="14" max="14" width="12.7109375" style="2" customWidth="1"/>
    <col min="15" max="20" width="11.42578125" style="2"/>
    <col min="21" max="21" width="13.28515625" style="2" bestFit="1" customWidth="1"/>
    <col min="22" max="22" width="34.140625" style="2" customWidth="1"/>
    <col min="23" max="24" width="11.42578125" style="2"/>
    <col min="25" max="25" width="13.28515625" style="2" bestFit="1" customWidth="1"/>
    <col min="26" max="26" width="45.42578125" style="2" bestFit="1" customWidth="1"/>
    <col min="27" max="27" width="13.5703125" style="2" bestFit="1" customWidth="1"/>
    <col min="28" max="16384" width="11.42578125" style="2"/>
  </cols>
  <sheetData>
    <row r="1" spans="1:30" s="41" customFormat="1" ht="25.9">
      <c r="A1" s="41" t="s">
        <v>14</v>
      </c>
    </row>
    <row r="2" spans="1:30" ht="15" thickBot="1"/>
    <row r="3" spans="1:30" s="1" customFormat="1" ht="30.75" customHeight="1" thickBot="1">
      <c r="C3" s="95" t="s">
        <v>15</v>
      </c>
      <c r="D3" s="96"/>
      <c r="E3" s="96"/>
      <c r="F3" s="96"/>
      <c r="G3" s="96"/>
      <c r="H3" s="96"/>
      <c r="I3" s="96"/>
      <c r="J3" s="96"/>
      <c r="K3" s="96"/>
      <c r="L3" s="96"/>
      <c r="M3" s="96"/>
      <c r="N3" s="96"/>
      <c r="O3" s="96"/>
      <c r="P3" s="96"/>
      <c r="Q3" s="96"/>
      <c r="R3" s="96"/>
      <c r="S3" s="97"/>
      <c r="V3" s="98" t="s">
        <v>16</v>
      </c>
      <c r="W3" s="99"/>
      <c r="X3" s="99"/>
      <c r="Y3" s="99"/>
      <c r="Z3" s="99"/>
      <c r="AA3" s="99"/>
      <c r="AB3" s="99"/>
      <c r="AC3" s="99"/>
      <c r="AD3" s="100"/>
    </row>
    <row r="5" spans="1:30" s="3" customFormat="1">
      <c r="C5" s="91" t="s">
        <v>17</v>
      </c>
      <c r="D5" s="91"/>
      <c r="E5" s="91"/>
      <c r="F5" s="91"/>
      <c r="G5" s="91"/>
      <c r="H5" s="91"/>
      <c r="I5" s="91"/>
      <c r="J5" s="2"/>
      <c r="K5" s="2"/>
      <c r="L5" s="92" t="s">
        <v>18</v>
      </c>
      <c r="M5" s="93"/>
      <c r="N5" s="93"/>
      <c r="O5" s="93"/>
      <c r="P5" s="93"/>
      <c r="Q5" s="93"/>
      <c r="R5" s="93"/>
      <c r="S5" s="94"/>
      <c r="V5" s="91" t="s">
        <v>19</v>
      </c>
      <c r="W5" s="91"/>
      <c r="X5" s="2"/>
      <c r="Y5" s="2"/>
      <c r="Z5" s="92" t="s">
        <v>20</v>
      </c>
      <c r="AA5" s="93"/>
      <c r="AB5" s="93"/>
      <c r="AC5" s="93"/>
      <c r="AD5" s="94"/>
    </row>
    <row r="6" spans="1:30" ht="28.9">
      <c r="B6" s="3" t="s">
        <v>21</v>
      </c>
      <c r="C6" s="4" t="s">
        <v>22</v>
      </c>
      <c r="D6" s="4" t="s">
        <v>23</v>
      </c>
      <c r="E6" s="4" t="s">
        <v>24</v>
      </c>
      <c r="F6" s="4" t="s">
        <v>25</v>
      </c>
      <c r="G6" s="4" t="s">
        <v>26</v>
      </c>
      <c r="H6" s="4" t="s">
        <v>27</v>
      </c>
      <c r="I6" s="4" t="s">
        <v>28</v>
      </c>
      <c r="J6" s="3"/>
      <c r="K6" s="3" t="s">
        <v>21</v>
      </c>
      <c r="L6" s="4" t="s">
        <v>22</v>
      </c>
      <c r="M6" s="4" t="s">
        <v>29</v>
      </c>
      <c r="N6" s="4" t="s">
        <v>30</v>
      </c>
      <c r="O6" s="4" t="s">
        <v>24</v>
      </c>
      <c r="P6" s="4" t="s">
        <v>25</v>
      </c>
      <c r="Q6" s="4" t="s">
        <v>26</v>
      </c>
      <c r="R6" s="4" t="s">
        <v>31</v>
      </c>
      <c r="S6" s="4" t="s">
        <v>28</v>
      </c>
      <c r="U6" s="3" t="s">
        <v>21</v>
      </c>
      <c r="V6" s="4" t="s">
        <v>32</v>
      </c>
      <c r="W6" s="4" t="s">
        <v>33</v>
      </c>
      <c r="X6" s="3"/>
      <c r="Y6" s="3" t="s">
        <v>21</v>
      </c>
      <c r="Z6" s="4" t="s">
        <v>34</v>
      </c>
      <c r="AA6" s="4" t="s">
        <v>29</v>
      </c>
      <c r="AB6" s="4" t="s">
        <v>23</v>
      </c>
      <c r="AC6" s="4" t="s">
        <v>24</v>
      </c>
      <c r="AD6" s="4" t="s">
        <v>35</v>
      </c>
    </row>
    <row r="7" spans="1:30">
      <c r="C7" s="5" t="s">
        <v>36</v>
      </c>
      <c r="D7" s="5">
        <v>1</v>
      </c>
      <c r="E7" s="5">
        <v>30000</v>
      </c>
      <c r="F7" s="5">
        <f>D7*E7</f>
        <v>30000</v>
      </c>
      <c r="G7" s="5">
        <v>10</v>
      </c>
      <c r="H7" s="5">
        <f>0.1*E7</f>
        <v>3000</v>
      </c>
      <c r="I7" s="5">
        <f>H7*D7</f>
        <v>3000</v>
      </c>
      <c r="L7" s="5" t="s">
        <v>37</v>
      </c>
      <c r="M7" s="5" t="s">
        <v>38</v>
      </c>
      <c r="N7" s="5">
        <v>1</v>
      </c>
      <c r="O7" s="5">
        <v>2400000</v>
      </c>
      <c r="P7" s="5">
        <f>N7*O7</f>
        <v>2400000</v>
      </c>
      <c r="Q7" s="5">
        <v>10</v>
      </c>
      <c r="R7" s="5"/>
      <c r="S7" s="5">
        <f>R7*N7</f>
        <v>0</v>
      </c>
      <c r="V7" s="5" t="s">
        <v>39</v>
      </c>
      <c r="W7" s="5">
        <v>8000</v>
      </c>
      <c r="Z7" s="5" t="s">
        <v>40</v>
      </c>
      <c r="AA7" s="5" t="s">
        <v>41</v>
      </c>
      <c r="AB7" s="5">
        <v>1</v>
      </c>
      <c r="AC7" s="5">
        <v>150</v>
      </c>
      <c r="AD7" s="5">
        <f>AB7*AC7</f>
        <v>150</v>
      </c>
    </row>
    <row r="8" spans="1:30">
      <c r="C8" s="5" t="s">
        <v>42</v>
      </c>
      <c r="D8" s="5">
        <v>1</v>
      </c>
      <c r="E8" s="5">
        <v>12000</v>
      </c>
      <c r="F8" s="5">
        <f t="shared" ref="F8:F26" si="0">D8*E8</f>
        <v>12000</v>
      </c>
      <c r="G8" s="5">
        <v>10</v>
      </c>
      <c r="H8" s="5">
        <f t="shared" ref="H8:H26" si="1">0.1*E8</f>
        <v>1200</v>
      </c>
      <c r="I8" s="5">
        <f t="shared" ref="I8:I15" si="2">H8*D8</f>
        <v>1200</v>
      </c>
      <c r="L8" s="5" t="s">
        <v>43</v>
      </c>
      <c r="M8" s="5" t="s">
        <v>44</v>
      </c>
      <c r="N8" s="5">
        <v>2</v>
      </c>
      <c r="O8" s="5">
        <v>45000</v>
      </c>
      <c r="P8" s="5">
        <f t="shared" ref="P8:P11" si="3">N8*O8</f>
        <v>90000</v>
      </c>
      <c r="Q8" s="5">
        <v>10</v>
      </c>
      <c r="R8" s="5"/>
      <c r="S8" s="5">
        <f t="shared" ref="S8:S11" si="4">R8*N8</f>
        <v>0</v>
      </c>
      <c r="V8" s="5" t="s">
        <v>45</v>
      </c>
      <c r="W8" s="5">
        <v>9000</v>
      </c>
      <c r="Z8" s="5" t="s">
        <v>46</v>
      </c>
      <c r="AA8" s="5" t="s">
        <v>41</v>
      </c>
      <c r="AB8" s="5">
        <v>1</v>
      </c>
      <c r="AC8" s="5">
        <v>400</v>
      </c>
      <c r="AD8" s="5">
        <f t="shared" ref="AD8:AD23" si="5">AB8*AC8</f>
        <v>400</v>
      </c>
    </row>
    <row r="9" spans="1:30">
      <c r="C9" s="5" t="s">
        <v>47</v>
      </c>
      <c r="D9" s="5">
        <v>1</v>
      </c>
      <c r="E9" s="5">
        <v>18000</v>
      </c>
      <c r="F9" s="5">
        <f t="shared" si="0"/>
        <v>18000</v>
      </c>
      <c r="G9" s="5">
        <v>10</v>
      </c>
      <c r="H9" s="5">
        <f t="shared" si="1"/>
        <v>1800</v>
      </c>
      <c r="I9" s="5">
        <f t="shared" si="2"/>
        <v>1800</v>
      </c>
      <c r="L9" s="5" t="s">
        <v>48</v>
      </c>
      <c r="M9" s="5" t="s">
        <v>49</v>
      </c>
      <c r="N9" s="5">
        <v>1</v>
      </c>
      <c r="O9" s="5">
        <v>80000</v>
      </c>
      <c r="P9" s="5">
        <f t="shared" si="3"/>
        <v>80000</v>
      </c>
      <c r="Q9" s="5">
        <v>10</v>
      </c>
      <c r="R9" s="5"/>
      <c r="S9" s="5">
        <f t="shared" si="4"/>
        <v>0</v>
      </c>
      <c r="V9" s="5" t="s">
        <v>50</v>
      </c>
      <c r="W9" s="5">
        <v>10000</v>
      </c>
      <c r="Z9" s="5" t="s">
        <v>51</v>
      </c>
      <c r="AA9" s="5" t="s">
        <v>52</v>
      </c>
      <c r="AB9" s="5">
        <v>1</v>
      </c>
      <c r="AC9" s="5">
        <v>140</v>
      </c>
      <c r="AD9" s="5">
        <f t="shared" si="5"/>
        <v>140</v>
      </c>
    </row>
    <row r="10" spans="1:30">
      <c r="C10" s="5" t="s">
        <v>53</v>
      </c>
      <c r="D10" s="5">
        <v>1</v>
      </c>
      <c r="E10" s="5">
        <v>7000</v>
      </c>
      <c r="F10" s="5">
        <f t="shared" si="0"/>
        <v>7000</v>
      </c>
      <c r="G10" s="5">
        <v>10</v>
      </c>
      <c r="H10" s="5">
        <f t="shared" si="1"/>
        <v>700</v>
      </c>
      <c r="I10" s="5">
        <f t="shared" si="2"/>
        <v>700</v>
      </c>
      <c r="L10" s="5" t="s">
        <v>54</v>
      </c>
      <c r="M10" s="5" t="s">
        <v>55</v>
      </c>
      <c r="N10" s="5">
        <v>1</v>
      </c>
      <c r="O10" s="5">
        <v>1200000</v>
      </c>
      <c r="P10" s="5">
        <f t="shared" si="3"/>
        <v>1200000</v>
      </c>
      <c r="Q10" s="5">
        <v>10</v>
      </c>
      <c r="R10" s="5"/>
      <c r="S10" s="5">
        <f t="shared" si="4"/>
        <v>0</v>
      </c>
      <c r="V10" s="5" t="s">
        <v>56</v>
      </c>
      <c r="W10" s="5">
        <v>8400</v>
      </c>
      <c r="Z10" s="5" t="s">
        <v>57</v>
      </c>
      <c r="AA10" s="5" t="s">
        <v>58</v>
      </c>
      <c r="AB10" s="5">
        <v>1</v>
      </c>
      <c r="AC10" s="5">
        <v>90</v>
      </c>
      <c r="AD10" s="5">
        <f t="shared" si="5"/>
        <v>90</v>
      </c>
    </row>
    <row r="11" spans="1:30">
      <c r="C11" s="5" t="s">
        <v>59</v>
      </c>
      <c r="D11" s="5">
        <v>1</v>
      </c>
      <c r="E11" s="5">
        <v>8500</v>
      </c>
      <c r="F11" s="5">
        <f t="shared" si="0"/>
        <v>8500</v>
      </c>
      <c r="G11" s="5">
        <v>10</v>
      </c>
      <c r="H11" s="5">
        <f t="shared" si="1"/>
        <v>850</v>
      </c>
      <c r="I11" s="5">
        <f t="shared" si="2"/>
        <v>850</v>
      </c>
      <c r="L11" s="5" t="s">
        <v>60</v>
      </c>
      <c r="M11" s="5" t="s">
        <v>61</v>
      </c>
      <c r="N11" s="5">
        <v>1</v>
      </c>
      <c r="O11" s="5">
        <v>2000000</v>
      </c>
      <c r="P11" s="5">
        <f t="shared" si="3"/>
        <v>2000000</v>
      </c>
      <c r="Q11" s="5">
        <v>10</v>
      </c>
      <c r="R11" s="5"/>
      <c r="S11" s="5">
        <f t="shared" si="4"/>
        <v>0</v>
      </c>
      <c r="V11" s="5" t="s">
        <v>62</v>
      </c>
      <c r="W11" s="5">
        <v>8000</v>
      </c>
      <c r="Z11" s="5" t="s">
        <v>63</v>
      </c>
      <c r="AA11" s="5" t="s">
        <v>58</v>
      </c>
      <c r="AB11" s="5">
        <v>1</v>
      </c>
      <c r="AC11" s="5">
        <v>100</v>
      </c>
      <c r="AD11" s="5">
        <f t="shared" si="5"/>
        <v>100</v>
      </c>
    </row>
    <row r="12" spans="1:30">
      <c r="C12" s="5" t="s">
        <v>64</v>
      </c>
      <c r="D12" s="5">
        <v>1</v>
      </c>
      <c r="E12" s="5">
        <v>6500</v>
      </c>
      <c r="F12" s="5">
        <f t="shared" si="0"/>
        <v>6500</v>
      </c>
      <c r="G12" s="5">
        <v>10</v>
      </c>
      <c r="H12" s="5">
        <f t="shared" si="1"/>
        <v>650</v>
      </c>
      <c r="I12" s="5">
        <f t="shared" si="2"/>
        <v>650</v>
      </c>
      <c r="P12" s="6">
        <f>SUM(P7:P11)</f>
        <v>5770000</v>
      </c>
      <c r="S12" s="6">
        <f>SUM(S7:S11)</f>
        <v>0</v>
      </c>
      <c r="V12" s="5" t="s">
        <v>65</v>
      </c>
      <c r="W12" s="5">
        <v>10000</v>
      </c>
      <c r="Z12" s="5" t="s">
        <v>66</v>
      </c>
      <c r="AA12" s="5" t="s">
        <v>67</v>
      </c>
      <c r="AB12" s="5">
        <v>1</v>
      </c>
      <c r="AC12" s="5">
        <v>200</v>
      </c>
      <c r="AD12" s="5">
        <f t="shared" si="5"/>
        <v>200</v>
      </c>
    </row>
    <row r="13" spans="1:30">
      <c r="C13" s="5" t="s">
        <v>68</v>
      </c>
      <c r="D13" s="5">
        <v>1</v>
      </c>
      <c r="E13" s="5">
        <v>28000</v>
      </c>
      <c r="F13" s="5">
        <f t="shared" si="0"/>
        <v>28000</v>
      </c>
      <c r="G13" s="5">
        <v>10</v>
      </c>
      <c r="H13" s="5">
        <f t="shared" si="1"/>
        <v>2800</v>
      </c>
      <c r="I13" s="5">
        <f t="shared" si="2"/>
        <v>2800</v>
      </c>
      <c r="V13" s="5" t="s">
        <v>69</v>
      </c>
      <c r="W13" s="5">
        <v>8500</v>
      </c>
      <c r="Z13" s="5" t="s">
        <v>70</v>
      </c>
      <c r="AA13" s="5" t="s">
        <v>52</v>
      </c>
      <c r="AB13" s="5">
        <v>1</v>
      </c>
      <c r="AC13" s="5">
        <v>240</v>
      </c>
      <c r="AD13" s="5">
        <f t="shared" si="5"/>
        <v>240</v>
      </c>
    </row>
    <row r="14" spans="1:30">
      <c r="C14" s="5" t="s">
        <v>71</v>
      </c>
      <c r="D14" s="5">
        <v>1</v>
      </c>
      <c r="E14" s="5">
        <v>13500</v>
      </c>
      <c r="F14" s="5">
        <f t="shared" si="0"/>
        <v>13500</v>
      </c>
      <c r="G14" s="5">
        <v>10</v>
      </c>
      <c r="H14" s="5">
        <f t="shared" si="1"/>
        <v>1350</v>
      </c>
      <c r="I14" s="5">
        <f t="shared" si="2"/>
        <v>1350</v>
      </c>
      <c r="V14" s="5" t="s">
        <v>72</v>
      </c>
      <c r="W14" s="5">
        <v>10000</v>
      </c>
      <c r="Z14" s="5" t="s">
        <v>73</v>
      </c>
      <c r="AA14" s="5" t="s">
        <v>74</v>
      </c>
      <c r="AB14" s="5">
        <v>1</v>
      </c>
      <c r="AC14" s="5">
        <v>80</v>
      </c>
      <c r="AD14" s="5">
        <f t="shared" si="5"/>
        <v>80</v>
      </c>
    </row>
    <row r="15" spans="1:30">
      <c r="C15" s="5" t="s">
        <v>75</v>
      </c>
      <c r="D15" s="5">
        <v>1</v>
      </c>
      <c r="E15" s="5">
        <v>4500</v>
      </c>
      <c r="F15" s="5">
        <f t="shared" si="0"/>
        <v>4500</v>
      </c>
      <c r="G15" s="5">
        <v>10</v>
      </c>
      <c r="H15" s="5">
        <f t="shared" si="1"/>
        <v>450</v>
      </c>
      <c r="I15" s="5">
        <f t="shared" si="2"/>
        <v>450</v>
      </c>
      <c r="V15" s="5" t="s">
        <v>76</v>
      </c>
      <c r="W15" s="5">
        <v>6000</v>
      </c>
      <c r="Z15" s="5" t="s">
        <v>77</v>
      </c>
      <c r="AA15" s="5" t="s">
        <v>52</v>
      </c>
      <c r="AB15" s="5">
        <v>1</v>
      </c>
      <c r="AC15" s="5">
        <v>130</v>
      </c>
      <c r="AD15" s="5">
        <f t="shared" si="5"/>
        <v>130</v>
      </c>
    </row>
    <row r="16" spans="1:30">
      <c r="C16" s="5" t="s">
        <v>78</v>
      </c>
      <c r="D16" s="5">
        <v>1</v>
      </c>
      <c r="E16" s="5">
        <v>4800</v>
      </c>
      <c r="F16" s="5">
        <f t="shared" si="0"/>
        <v>4800</v>
      </c>
      <c r="G16" s="5">
        <v>10</v>
      </c>
      <c r="H16" s="5">
        <f t="shared" si="1"/>
        <v>480</v>
      </c>
      <c r="I16" s="5">
        <f>H16*D16</f>
        <v>480</v>
      </c>
      <c r="V16" s="5" t="s">
        <v>79</v>
      </c>
      <c r="W16" s="5">
        <v>12000</v>
      </c>
      <c r="Z16" s="5" t="s">
        <v>80</v>
      </c>
      <c r="AA16" s="5" t="s">
        <v>74</v>
      </c>
      <c r="AB16" s="5">
        <v>1</v>
      </c>
      <c r="AC16" s="5">
        <v>12</v>
      </c>
      <c r="AD16" s="5">
        <f t="shared" si="5"/>
        <v>12</v>
      </c>
    </row>
    <row r="17" spans="1:30">
      <c r="C17" s="5" t="s">
        <v>81</v>
      </c>
      <c r="D17" s="5">
        <v>1</v>
      </c>
      <c r="E17" s="5">
        <v>3800</v>
      </c>
      <c r="F17" s="5">
        <f t="shared" si="0"/>
        <v>3800</v>
      </c>
      <c r="G17" s="5">
        <v>10</v>
      </c>
      <c r="H17" s="5">
        <f t="shared" si="1"/>
        <v>380</v>
      </c>
      <c r="I17" s="5">
        <f t="shared" ref="I17:I26" si="6">H17*D17</f>
        <v>380</v>
      </c>
      <c r="V17" s="5" t="s">
        <v>82</v>
      </c>
      <c r="W17" s="5">
        <v>16000</v>
      </c>
      <c r="Z17" s="5" t="s">
        <v>83</v>
      </c>
      <c r="AA17" s="5" t="s">
        <v>84</v>
      </c>
      <c r="AB17" s="5">
        <v>1</v>
      </c>
      <c r="AC17" s="5">
        <v>70</v>
      </c>
      <c r="AD17" s="5">
        <f t="shared" si="5"/>
        <v>70</v>
      </c>
    </row>
    <row r="18" spans="1:30">
      <c r="C18" s="5" t="s">
        <v>85</v>
      </c>
      <c r="D18" s="5">
        <v>1</v>
      </c>
      <c r="E18" s="5">
        <v>29000</v>
      </c>
      <c r="F18" s="5">
        <f t="shared" si="0"/>
        <v>29000</v>
      </c>
      <c r="G18" s="5">
        <v>10</v>
      </c>
      <c r="H18" s="5">
        <f t="shared" si="1"/>
        <v>2900</v>
      </c>
      <c r="I18" s="5">
        <f t="shared" si="6"/>
        <v>2900</v>
      </c>
      <c r="V18" s="5" t="s">
        <v>86</v>
      </c>
      <c r="W18" s="5">
        <v>12000</v>
      </c>
      <c r="Z18" s="5" t="s">
        <v>87</v>
      </c>
      <c r="AA18" s="5" t="s">
        <v>88</v>
      </c>
      <c r="AB18" s="5">
        <v>1</v>
      </c>
      <c r="AC18" s="5">
        <v>110</v>
      </c>
      <c r="AD18" s="5">
        <f t="shared" si="5"/>
        <v>110</v>
      </c>
    </row>
    <row r="19" spans="1:30">
      <c r="C19" s="5" t="s">
        <v>89</v>
      </c>
      <c r="D19" s="5">
        <v>1</v>
      </c>
      <c r="E19" s="5">
        <v>35000</v>
      </c>
      <c r="F19" s="5">
        <f t="shared" si="0"/>
        <v>35000</v>
      </c>
      <c r="G19" s="5">
        <v>5</v>
      </c>
      <c r="H19" s="5">
        <f t="shared" si="1"/>
        <v>3500</v>
      </c>
      <c r="I19" s="5">
        <f t="shared" si="6"/>
        <v>3500</v>
      </c>
      <c r="Z19" s="5" t="s">
        <v>90</v>
      </c>
      <c r="AA19" s="5" t="s">
        <v>91</v>
      </c>
      <c r="AB19" s="5">
        <v>1</v>
      </c>
      <c r="AC19" s="5">
        <v>6400</v>
      </c>
      <c r="AD19" s="5">
        <f t="shared" si="5"/>
        <v>6400</v>
      </c>
    </row>
    <row r="20" spans="1:30">
      <c r="C20" s="5" t="s">
        <v>92</v>
      </c>
      <c r="D20" s="5">
        <v>1</v>
      </c>
      <c r="E20" s="5">
        <v>18000</v>
      </c>
      <c r="F20" s="5">
        <f t="shared" si="0"/>
        <v>18000</v>
      </c>
      <c r="G20" s="5">
        <v>5</v>
      </c>
      <c r="H20" s="5">
        <f t="shared" si="1"/>
        <v>1800</v>
      </c>
      <c r="I20" s="5">
        <f t="shared" si="6"/>
        <v>1800</v>
      </c>
      <c r="Z20" s="5" t="s">
        <v>93</v>
      </c>
      <c r="AA20" s="5" t="s">
        <v>52</v>
      </c>
      <c r="AB20" s="5">
        <v>1</v>
      </c>
      <c r="AC20" s="5">
        <v>25</v>
      </c>
      <c r="AD20" s="5">
        <f t="shared" si="5"/>
        <v>25</v>
      </c>
    </row>
    <row r="21" spans="1:30" ht="18">
      <c r="A21" s="7"/>
      <c r="C21" s="5" t="s">
        <v>94</v>
      </c>
      <c r="D21" s="5">
        <v>1</v>
      </c>
      <c r="E21" s="5">
        <v>3500</v>
      </c>
      <c r="F21" s="5">
        <f t="shared" si="0"/>
        <v>3500</v>
      </c>
      <c r="G21" s="5">
        <v>10</v>
      </c>
      <c r="H21" s="5">
        <f t="shared" si="1"/>
        <v>350</v>
      </c>
      <c r="I21" s="5">
        <f t="shared" si="6"/>
        <v>350</v>
      </c>
      <c r="Z21" s="5" t="s">
        <v>95</v>
      </c>
      <c r="AA21" s="5" t="s">
        <v>91</v>
      </c>
      <c r="AB21" s="5">
        <v>1</v>
      </c>
      <c r="AC21" s="5">
        <v>600</v>
      </c>
      <c r="AD21" s="5">
        <f t="shared" si="5"/>
        <v>600</v>
      </c>
    </row>
    <row r="22" spans="1:30">
      <c r="C22" s="5" t="s">
        <v>96</v>
      </c>
      <c r="D22" s="5">
        <v>1</v>
      </c>
      <c r="E22" s="5">
        <v>2100</v>
      </c>
      <c r="F22" s="5">
        <f t="shared" si="0"/>
        <v>2100</v>
      </c>
      <c r="G22" s="5">
        <v>10</v>
      </c>
      <c r="H22" s="5">
        <f t="shared" si="1"/>
        <v>210</v>
      </c>
      <c r="I22" s="5">
        <f t="shared" si="6"/>
        <v>210</v>
      </c>
      <c r="Z22" s="5" t="s">
        <v>97</v>
      </c>
      <c r="AA22" s="5" t="s">
        <v>98</v>
      </c>
      <c r="AB22" s="5">
        <v>1</v>
      </c>
      <c r="AC22" s="5">
        <v>2500</v>
      </c>
      <c r="AD22" s="5">
        <f t="shared" si="5"/>
        <v>2500</v>
      </c>
    </row>
    <row r="23" spans="1:30">
      <c r="C23" s="5" t="s">
        <v>99</v>
      </c>
      <c r="D23" s="5">
        <v>1</v>
      </c>
      <c r="E23" s="5">
        <v>360000</v>
      </c>
      <c r="F23" s="5">
        <f t="shared" si="0"/>
        <v>360000</v>
      </c>
      <c r="G23" s="5">
        <v>10</v>
      </c>
      <c r="H23" s="5">
        <f t="shared" si="1"/>
        <v>36000</v>
      </c>
      <c r="I23" s="5">
        <f t="shared" si="6"/>
        <v>36000</v>
      </c>
      <c r="Z23" s="5" t="s">
        <v>100</v>
      </c>
      <c r="AA23" s="5" t="s">
        <v>98</v>
      </c>
      <c r="AB23" s="5">
        <v>1</v>
      </c>
      <c r="AC23" s="5">
        <v>1200</v>
      </c>
      <c r="AD23" s="5">
        <f t="shared" si="5"/>
        <v>1200</v>
      </c>
    </row>
    <row r="24" spans="1:30">
      <c r="C24" s="5" t="s">
        <v>101</v>
      </c>
      <c r="D24" s="5">
        <v>2</v>
      </c>
      <c r="E24" s="5">
        <v>450000</v>
      </c>
      <c r="F24" s="5">
        <f t="shared" si="0"/>
        <v>900000</v>
      </c>
      <c r="G24" s="5">
        <v>10</v>
      </c>
      <c r="H24" s="5">
        <f t="shared" si="1"/>
        <v>45000</v>
      </c>
      <c r="I24" s="5">
        <f t="shared" si="6"/>
        <v>90000</v>
      </c>
      <c r="Z24" s="2" t="s">
        <v>102</v>
      </c>
    </row>
    <row r="25" spans="1:30">
      <c r="C25" s="5" t="s">
        <v>103</v>
      </c>
      <c r="D25" s="5">
        <v>1</v>
      </c>
      <c r="E25" s="5">
        <v>12000</v>
      </c>
      <c r="F25" s="5">
        <f t="shared" si="0"/>
        <v>12000</v>
      </c>
      <c r="G25" s="5">
        <v>10</v>
      </c>
      <c r="H25" s="5">
        <f t="shared" si="1"/>
        <v>1200</v>
      </c>
      <c r="I25" s="5">
        <f t="shared" si="6"/>
        <v>1200</v>
      </c>
    </row>
    <row r="26" spans="1:30">
      <c r="C26" s="5" t="s">
        <v>104</v>
      </c>
      <c r="D26" s="5">
        <v>1</v>
      </c>
      <c r="E26" s="5">
        <v>600</v>
      </c>
      <c r="F26" s="5">
        <f t="shared" si="0"/>
        <v>600</v>
      </c>
      <c r="G26" s="5">
        <v>10</v>
      </c>
      <c r="H26" s="5">
        <f t="shared" si="1"/>
        <v>60</v>
      </c>
      <c r="I26" s="5">
        <f t="shared" si="6"/>
        <v>60</v>
      </c>
    </row>
    <row r="27" spans="1:30">
      <c r="C27" s="8"/>
      <c r="F27" s="9">
        <f>SUM(F7:F26)</f>
        <v>1496800</v>
      </c>
      <c r="I27" s="9">
        <f>SUM(I7:I26)</f>
        <v>149680</v>
      </c>
    </row>
    <row r="32" spans="1:30">
      <c r="A32" s="8"/>
    </row>
    <row r="35" spans="1:1">
      <c r="A35" s="8"/>
    </row>
    <row r="37" spans="1:1">
      <c r="A37" s="8"/>
    </row>
    <row r="43" spans="1:1">
      <c r="A43" s="8"/>
    </row>
    <row r="44" spans="1:1">
      <c r="A44" s="8"/>
    </row>
    <row r="48" spans="1:1">
      <c r="A48" s="10"/>
    </row>
    <row r="52" spans="1:1">
      <c r="A52" s="11"/>
    </row>
    <row r="55" spans="1:1">
      <c r="A55" s="8"/>
    </row>
    <row r="58" spans="1:1">
      <c r="A58" s="8"/>
    </row>
    <row r="60" spans="1:1">
      <c r="A60" s="8"/>
    </row>
    <row r="65" spans="1:1">
      <c r="A65" s="12"/>
    </row>
    <row r="67" spans="1:1">
      <c r="A67" s="8"/>
    </row>
    <row r="68" spans="1:1">
      <c r="A68" s="8"/>
    </row>
    <row r="70" spans="1:1">
      <c r="A70" s="8"/>
    </row>
    <row r="72" spans="1:1">
      <c r="A72" s="8"/>
    </row>
    <row r="73" spans="1:1">
      <c r="A73" s="8"/>
    </row>
    <row r="74" spans="1:1">
      <c r="A74" s="13"/>
    </row>
    <row r="75" spans="1:1">
      <c r="A75" s="13"/>
    </row>
    <row r="79" spans="1:1" ht="18">
      <c r="A79" s="7" t="s">
        <v>105</v>
      </c>
    </row>
    <row r="80" spans="1:1">
      <c r="A80" s="8"/>
    </row>
    <row r="92" spans="1:1">
      <c r="A92" s="8"/>
    </row>
    <row r="93" spans="1:1">
      <c r="A93" s="8"/>
    </row>
    <row r="94" spans="1:1">
      <c r="A94" s="13"/>
    </row>
    <row r="95" spans="1:1">
      <c r="A95" s="8"/>
    </row>
    <row r="104" spans="1:1">
      <c r="A104" s="13" t="s">
        <v>106</v>
      </c>
    </row>
    <row r="105" spans="1:1">
      <c r="A105" s="8"/>
    </row>
    <row r="107" spans="1:1">
      <c r="A107" s="8"/>
    </row>
    <row r="108" spans="1:1">
      <c r="A108" s="8"/>
    </row>
    <row r="109" spans="1:1">
      <c r="A109" s="13" t="s">
        <v>107</v>
      </c>
    </row>
    <row r="110" spans="1:1">
      <c r="A110" s="8"/>
    </row>
    <row r="112" spans="1:1">
      <c r="A112" s="8"/>
    </row>
    <row r="113" spans="1:1">
      <c r="A113" s="8"/>
    </row>
    <row r="114" spans="1:1">
      <c r="A114" s="13" t="s">
        <v>108</v>
      </c>
    </row>
    <row r="115" spans="1:1">
      <c r="A115" s="8"/>
    </row>
    <row r="117" spans="1:1">
      <c r="A117" s="8"/>
    </row>
    <row r="118" spans="1:1">
      <c r="A118" s="8"/>
    </row>
    <row r="119" spans="1:1">
      <c r="A119" s="13" t="s">
        <v>109</v>
      </c>
    </row>
    <row r="120" spans="1:1">
      <c r="A120" s="8"/>
    </row>
    <row r="123" spans="1:1">
      <c r="A123" s="8"/>
    </row>
    <row r="124" spans="1:1">
      <c r="A124" s="13" t="s">
        <v>110</v>
      </c>
    </row>
    <row r="125" spans="1:1">
      <c r="A125" s="13" t="s">
        <v>111</v>
      </c>
    </row>
    <row r="126" spans="1:1">
      <c r="A126" s="8"/>
    </row>
    <row r="128" spans="1:1">
      <c r="A128" s="8"/>
    </row>
    <row r="129" spans="1:1">
      <c r="A129" s="8"/>
    </row>
    <row r="130" spans="1:1">
      <c r="A130" s="13" t="s">
        <v>112</v>
      </c>
    </row>
    <row r="134" spans="1:1">
      <c r="A134" s="2" t="s">
        <v>113</v>
      </c>
    </row>
    <row r="136" spans="1:1">
      <c r="A136" s="2" t="s">
        <v>114</v>
      </c>
    </row>
    <row r="138" spans="1:1">
      <c r="A138" s="10" t="s">
        <v>115</v>
      </c>
    </row>
    <row r="140" spans="1:1">
      <c r="A140" s="2" t="s">
        <v>116</v>
      </c>
    </row>
    <row r="142" spans="1:1">
      <c r="A142" s="11" t="s">
        <v>117</v>
      </c>
    </row>
    <row r="144" spans="1:1">
      <c r="A144" s="2" t="s">
        <v>118</v>
      </c>
    </row>
    <row r="145" spans="1:1">
      <c r="A145" s="2" t="s">
        <v>119</v>
      </c>
    </row>
    <row r="147" spans="1:1">
      <c r="A147" s="2" t="s">
        <v>120</v>
      </c>
    </row>
    <row r="149" spans="1:1" ht="18">
      <c r="A149" s="7" t="s">
        <v>121</v>
      </c>
    </row>
    <row r="150" spans="1:1">
      <c r="A150" s="8"/>
    </row>
    <row r="151" spans="1:1">
      <c r="A151" s="12" t="s">
        <v>122</v>
      </c>
    </row>
    <row r="152" spans="1:1">
      <c r="A152" s="8"/>
    </row>
    <row r="153" spans="1:1">
      <c r="A153" s="8"/>
    </row>
    <row r="154" spans="1:1">
      <c r="A154" s="13" t="s">
        <v>123</v>
      </c>
    </row>
    <row r="155" spans="1:1">
      <c r="A155" s="14" t="s">
        <v>124</v>
      </c>
    </row>
    <row r="156" spans="1:1">
      <c r="A156" s="13" t="s">
        <v>125</v>
      </c>
    </row>
    <row r="157" spans="1:1">
      <c r="A157" s="14" t="s">
        <v>126</v>
      </c>
    </row>
    <row r="158" spans="1:1">
      <c r="A158" s="13" t="s">
        <v>127</v>
      </c>
    </row>
    <row r="159" spans="1:1">
      <c r="A159" s="8"/>
    </row>
    <row r="160" spans="1:1">
      <c r="A160" s="12" t="s">
        <v>128</v>
      </c>
    </row>
    <row r="161" spans="1:1">
      <c r="A161" s="8"/>
    </row>
    <row r="162" spans="1:1">
      <c r="A162" s="8"/>
    </row>
    <row r="163" spans="1:1">
      <c r="A163" s="13" t="s">
        <v>129</v>
      </c>
    </row>
    <row r="164" spans="1:1">
      <c r="A164" s="14" t="s">
        <v>124</v>
      </c>
    </row>
    <row r="165" spans="1:1">
      <c r="A165" s="13" t="s">
        <v>125</v>
      </c>
    </row>
    <row r="166" spans="1:1">
      <c r="A166" s="14" t="s">
        <v>126</v>
      </c>
    </row>
    <row r="167" spans="1:1">
      <c r="A167" s="13" t="s">
        <v>127</v>
      </c>
    </row>
    <row r="168" spans="1:1">
      <c r="A168" s="8"/>
    </row>
    <row r="169" spans="1:1">
      <c r="A169" s="12" t="s">
        <v>130</v>
      </c>
    </row>
    <row r="170" spans="1:1">
      <c r="A170" s="8"/>
    </row>
    <row r="171" spans="1:1">
      <c r="A171" s="8"/>
    </row>
    <row r="172" spans="1:1">
      <c r="A172" s="13" t="s">
        <v>131</v>
      </c>
    </row>
    <row r="173" spans="1:1">
      <c r="A173" s="14" t="s">
        <v>124</v>
      </c>
    </row>
    <row r="174" spans="1:1">
      <c r="A174" s="13" t="s">
        <v>125</v>
      </c>
    </row>
    <row r="175" spans="1:1">
      <c r="A175" s="14" t="s">
        <v>126</v>
      </c>
    </row>
    <row r="176" spans="1:1">
      <c r="A176" s="13" t="s">
        <v>127</v>
      </c>
    </row>
    <row r="177" spans="1:1">
      <c r="A177" s="8"/>
    </row>
    <row r="178" spans="1:1">
      <c r="A178" s="12" t="s">
        <v>132</v>
      </c>
    </row>
    <row r="179" spans="1:1">
      <c r="A179" s="8"/>
    </row>
    <row r="180" spans="1:1">
      <c r="A180" s="8"/>
    </row>
    <row r="181" spans="1:1">
      <c r="A181" s="13" t="s">
        <v>133</v>
      </c>
    </row>
    <row r="182" spans="1:1">
      <c r="A182" s="14" t="s">
        <v>124</v>
      </c>
    </row>
    <row r="183" spans="1:1">
      <c r="A183" s="13" t="s">
        <v>127</v>
      </c>
    </row>
    <row r="184" spans="1:1">
      <c r="A184" s="8"/>
    </row>
    <row r="185" spans="1:1">
      <c r="A185" s="12" t="s">
        <v>134</v>
      </c>
    </row>
    <row r="186" spans="1:1">
      <c r="A186" s="8"/>
    </row>
    <row r="187" spans="1:1">
      <c r="A187" s="8"/>
    </row>
    <row r="188" spans="1:1">
      <c r="A188" s="13" t="s">
        <v>135</v>
      </c>
    </row>
    <row r="189" spans="1:1">
      <c r="A189" s="14" t="s">
        <v>136</v>
      </c>
    </row>
    <row r="190" spans="1:1">
      <c r="A190" s="13" t="s">
        <v>127</v>
      </c>
    </row>
    <row r="192" spans="1:1" ht="18">
      <c r="A192" s="7" t="s">
        <v>137</v>
      </c>
    </row>
    <row r="193" spans="1:1">
      <c r="A193" s="8"/>
    </row>
    <row r="194" spans="1:1">
      <c r="A194" s="12" t="s">
        <v>138</v>
      </c>
    </row>
    <row r="195" spans="1:1">
      <c r="A195" s="8"/>
    </row>
    <row r="196" spans="1:1">
      <c r="A196" s="8"/>
    </row>
    <row r="197" spans="1:1">
      <c r="A197" s="13" t="s">
        <v>139</v>
      </c>
    </row>
    <row r="198" spans="1:1">
      <c r="A198" s="8"/>
    </row>
    <row r="199" spans="1:1">
      <c r="A199" s="12" t="s">
        <v>140</v>
      </c>
    </row>
    <row r="200" spans="1:1">
      <c r="A200" s="8"/>
    </row>
    <row r="201" spans="1:1">
      <c r="A201" s="8"/>
    </row>
    <row r="202" spans="1:1">
      <c r="A202" s="13" t="s">
        <v>141</v>
      </c>
    </row>
    <row r="203" spans="1:1">
      <c r="A203" s="8"/>
    </row>
    <row r="204" spans="1:1">
      <c r="A204" s="12" t="s">
        <v>142</v>
      </c>
    </row>
    <row r="205" spans="1:1">
      <c r="A205" s="8"/>
    </row>
    <row r="206" spans="1:1">
      <c r="A206" s="8"/>
    </row>
    <row r="207" spans="1:1">
      <c r="A207" s="13" t="s">
        <v>143</v>
      </c>
    </row>
    <row r="208" spans="1:1">
      <c r="A208" s="8"/>
    </row>
    <row r="209" spans="1:1">
      <c r="A209" s="12" t="s">
        <v>144</v>
      </c>
    </row>
    <row r="210" spans="1:1">
      <c r="A210" s="8"/>
    </row>
    <row r="211" spans="1:1">
      <c r="A211" s="8"/>
    </row>
    <row r="212" spans="1:1">
      <c r="A212" s="13" t="s">
        <v>145</v>
      </c>
    </row>
    <row r="214" spans="1:1" ht="18">
      <c r="A214" s="7" t="s">
        <v>146</v>
      </c>
    </row>
    <row r="215" spans="1:1">
      <c r="A215" s="8"/>
    </row>
    <row r="216" spans="1:1">
      <c r="A216" s="12" t="s">
        <v>147</v>
      </c>
    </row>
    <row r="217" spans="1:1">
      <c r="A217" s="8"/>
    </row>
    <row r="218" spans="1:1">
      <c r="A218" s="8"/>
    </row>
    <row r="219" spans="1:1">
      <c r="A219" s="13" t="s">
        <v>148</v>
      </c>
    </row>
    <row r="220" spans="1:1">
      <c r="A220" s="8"/>
    </row>
    <row r="221" spans="1:1">
      <c r="A221" s="12" t="s">
        <v>149</v>
      </c>
    </row>
    <row r="222" spans="1:1">
      <c r="A222" s="8"/>
    </row>
    <row r="223" spans="1:1">
      <c r="A223" s="8"/>
    </row>
    <row r="224" spans="1:1">
      <c r="A224" s="13" t="s">
        <v>150</v>
      </c>
    </row>
    <row r="225" spans="1:1">
      <c r="A225" s="14" t="s">
        <v>136</v>
      </c>
    </row>
    <row r="226" spans="1:1">
      <c r="A226" s="13" t="s">
        <v>125</v>
      </c>
    </row>
    <row r="227" spans="1:1">
      <c r="A227" s="14" t="s">
        <v>126</v>
      </c>
    </row>
    <row r="228" spans="1:1">
      <c r="A228" s="13" t="s">
        <v>127</v>
      </c>
    </row>
    <row r="230" spans="1:1">
      <c r="A230" s="2" t="s">
        <v>151</v>
      </c>
    </row>
    <row r="232" spans="1:1">
      <c r="A232" s="2" t="s">
        <v>114</v>
      </c>
    </row>
    <row r="234" spans="1:1">
      <c r="A234" s="10" t="s">
        <v>115</v>
      </c>
    </row>
    <row r="236" spans="1:1">
      <c r="A236" s="2" t="s">
        <v>152</v>
      </c>
    </row>
    <row r="238" spans="1:1">
      <c r="A238" s="11" t="s">
        <v>117</v>
      </c>
    </row>
    <row r="240" spans="1:1">
      <c r="A240" s="2" t="s">
        <v>118</v>
      </c>
    </row>
    <row r="242" spans="1:1">
      <c r="A242" s="2" t="s">
        <v>153</v>
      </c>
    </row>
    <row r="243" spans="1:1">
      <c r="A243" s="8"/>
    </row>
    <row r="244" spans="1:1">
      <c r="A244" s="12" t="s">
        <v>154</v>
      </c>
    </row>
    <row r="245" spans="1:1">
      <c r="A245" s="8"/>
    </row>
    <row r="246" spans="1:1">
      <c r="A246" s="8"/>
    </row>
    <row r="247" spans="1:1">
      <c r="A247" s="13" t="s">
        <v>155</v>
      </c>
    </row>
    <row r="248" spans="1:1">
      <c r="A248" s="13" t="s">
        <v>156</v>
      </c>
    </row>
    <row r="249" spans="1:1">
      <c r="A249" s="8"/>
    </row>
    <row r="250" spans="1:1">
      <c r="A250" s="12" t="s">
        <v>157</v>
      </c>
    </row>
    <row r="251" spans="1:1">
      <c r="A251" s="8"/>
    </row>
    <row r="252" spans="1:1">
      <c r="A252" s="8"/>
    </row>
    <row r="253" spans="1:1">
      <c r="A253" s="13" t="s">
        <v>158</v>
      </c>
    </row>
    <row r="254" spans="1:1">
      <c r="A254" s="13" t="s">
        <v>159</v>
      </c>
    </row>
    <row r="255" spans="1:1">
      <c r="A255" s="8"/>
    </row>
    <row r="256" spans="1:1">
      <c r="A256" s="12" t="s">
        <v>160</v>
      </c>
    </row>
    <row r="257" spans="1:1">
      <c r="A257" s="8"/>
    </row>
    <row r="258" spans="1:1">
      <c r="A258" s="8"/>
    </row>
    <row r="259" spans="1:1">
      <c r="A259" s="15" t="s">
        <v>161</v>
      </c>
    </row>
    <row r="260" spans="1:1">
      <c r="A260" s="15" t="s">
        <v>162</v>
      </c>
    </row>
    <row r="261" spans="1:1">
      <c r="A261" s="8"/>
    </row>
    <row r="262" spans="1:1">
      <c r="A262" s="12" t="s">
        <v>163</v>
      </c>
    </row>
    <row r="263" spans="1:1">
      <c r="A263" s="8"/>
    </row>
    <row r="264" spans="1:1">
      <c r="A264" s="8"/>
    </row>
    <row r="265" spans="1:1">
      <c r="A265" s="13" t="s">
        <v>164</v>
      </c>
    </row>
    <row r="267" spans="1:1" ht="18">
      <c r="A267" s="7" t="s">
        <v>165</v>
      </c>
    </row>
    <row r="269" spans="1:1">
      <c r="A269" s="2" t="s">
        <v>166</v>
      </c>
    </row>
    <row r="270" spans="1:1">
      <c r="A270" s="8"/>
    </row>
    <row r="271" spans="1:1">
      <c r="A271" s="8" t="s">
        <v>167</v>
      </c>
    </row>
    <row r="272" spans="1:1">
      <c r="A272" s="8" t="s">
        <v>168</v>
      </c>
    </row>
    <row r="273" spans="1:1">
      <c r="A273" s="8" t="s">
        <v>169</v>
      </c>
    </row>
    <row r="274" spans="1:1">
      <c r="A274" s="8" t="s">
        <v>170</v>
      </c>
    </row>
    <row r="276" spans="1:1">
      <c r="A276" s="16" t="s">
        <v>171</v>
      </c>
    </row>
    <row r="278" spans="1:1">
      <c r="A278" s="2" t="s">
        <v>172</v>
      </c>
    </row>
    <row r="280" spans="1:1">
      <c r="A280" s="2" t="s">
        <v>114</v>
      </c>
    </row>
    <row r="282" spans="1:1">
      <c r="A282" s="10" t="s">
        <v>115</v>
      </c>
    </row>
    <row r="284" spans="1:1">
      <c r="A284" s="2" t="s">
        <v>173</v>
      </c>
    </row>
    <row r="286" spans="1:1">
      <c r="A286" s="11" t="s">
        <v>117</v>
      </c>
    </row>
    <row r="288" spans="1:1">
      <c r="A288" s="2" t="s">
        <v>118</v>
      </c>
    </row>
    <row r="289" spans="1:1">
      <c r="A289" s="2" t="s">
        <v>174</v>
      </c>
    </row>
    <row r="291" spans="1:1">
      <c r="A291" s="2" t="s">
        <v>175</v>
      </c>
    </row>
    <row r="293" spans="1:1" ht="18">
      <c r="A293" s="7" t="s">
        <v>176</v>
      </c>
    </row>
    <row r="294" spans="1:1">
      <c r="A294" s="8"/>
    </row>
    <row r="295" spans="1:1">
      <c r="A295" s="12" t="s">
        <v>177</v>
      </c>
    </row>
    <row r="296" spans="1:1">
      <c r="A296" s="12" t="s">
        <v>178</v>
      </c>
    </row>
    <row r="297" spans="1:1">
      <c r="A297" s="17" t="s">
        <v>179</v>
      </c>
    </row>
    <row r="298" spans="1:1">
      <c r="A298" s="8" t="s">
        <v>125</v>
      </c>
    </row>
    <row r="299" spans="1:1">
      <c r="A299" s="17" t="s">
        <v>180</v>
      </c>
    </row>
    <row r="300" spans="1:1">
      <c r="A300" s="8" t="s">
        <v>127</v>
      </c>
    </row>
    <row r="301" spans="1:1">
      <c r="A301" s="12" t="s">
        <v>181</v>
      </c>
    </row>
    <row r="302" spans="1:1">
      <c r="A302" s="17" t="s">
        <v>180</v>
      </c>
    </row>
    <row r="303" spans="1:1">
      <c r="A303" s="8" t="s">
        <v>125</v>
      </c>
    </row>
    <row r="304" spans="1:1">
      <c r="A304" s="17" t="s">
        <v>180</v>
      </c>
    </row>
    <row r="305" spans="1:1">
      <c r="A305" s="8" t="s">
        <v>127</v>
      </c>
    </row>
    <row r="306" spans="1:1">
      <c r="A306" s="12" t="s">
        <v>182</v>
      </c>
    </row>
    <row r="307" spans="1:1">
      <c r="A307" s="17" t="s">
        <v>180</v>
      </c>
    </row>
    <row r="308" spans="1:1">
      <c r="A308" s="8" t="s">
        <v>125</v>
      </c>
    </row>
    <row r="309" spans="1:1">
      <c r="A309" s="17" t="s">
        <v>180</v>
      </c>
    </row>
    <row r="310" spans="1:1">
      <c r="A310" s="8" t="s">
        <v>127</v>
      </c>
    </row>
    <row r="311" spans="1:1">
      <c r="A311" s="12" t="s">
        <v>183</v>
      </c>
    </row>
    <row r="312" spans="1:1">
      <c r="A312" s="17" t="s">
        <v>180</v>
      </c>
    </row>
    <row r="313" spans="1:1">
      <c r="A313" s="8" t="s">
        <v>125</v>
      </c>
    </row>
    <row r="314" spans="1:1">
      <c r="A314" s="17" t="s">
        <v>180</v>
      </c>
    </row>
    <row r="315" spans="1:1">
      <c r="A315" s="8" t="s">
        <v>127</v>
      </c>
    </row>
    <row r="317" spans="1:1" ht="18">
      <c r="A317" s="7" t="s">
        <v>184</v>
      </c>
    </row>
    <row r="318" spans="1:1">
      <c r="A318" s="8"/>
    </row>
    <row r="319" spans="1:1">
      <c r="A319" s="12" t="s">
        <v>185</v>
      </c>
    </row>
    <row r="320" spans="1:1">
      <c r="A320" s="17" t="s">
        <v>180</v>
      </c>
    </row>
    <row r="321" spans="1:1">
      <c r="A321" s="8" t="s">
        <v>127</v>
      </c>
    </row>
    <row r="322" spans="1:1">
      <c r="A322" s="12" t="s">
        <v>186</v>
      </c>
    </row>
    <row r="323" spans="1:1">
      <c r="A323" s="17" t="s">
        <v>179</v>
      </c>
    </row>
    <row r="324" spans="1:1">
      <c r="A324" s="8" t="s">
        <v>125</v>
      </c>
    </row>
    <row r="325" spans="1:1">
      <c r="A325" s="17" t="s">
        <v>180</v>
      </c>
    </row>
    <row r="326" spans="1:1">
      <c r="A326" s="8" t="s">
        <v>127</v>
      </c>
    </row>
    <row r="327" spans="1:1">
      <c r="A327" s="12" t="s">
        <v>187</v>
      </c>
    </row>
    <row r="328" spans="1:1">
      <c r="A328" s="17" t="s">
        <v>180</v>
      </c>
    </row>
    <row r="329" spans="1:1">
      <c r="A329" s="8" t="s">
        <v>127</v>
      </c>
    </row>
    <row r="330" spans="1:1">
      <c r="A330" s="12" t="s">
        <v>188</v>
      </c>
    </row>
    <row r="331" spans="1:1">
      <c r="A331" s="17" t="s">
        <v>180</v>
      </c>
    </row>
    <row r="332" spans="1:1">
      <c r="A332" s="8" t="s">
        <v>125</v>
      </c>
    </row>
    <row r="333" spans="1:1">
      <c r="A333" s="17" t="s">
        <v>180</v>
      </c>
    </row>
    <row r="334" spans="1:1">
      <c r="A334" s="8" t="s">
        <v>127</v>
      </c>
    </row>
    <row r="336" spans="1:1" ht="18">
      <c r="A336" s="7" t="s">
        <v>189</v>
      </c>
    </row>
    <row r="337" spans="1:1">
      <c r="A337" s="8"/>
    </row>
    <row r="338" spans="1:1">
      <c r="A338" s="12" t="s">
        <v>190</v>
      </c>
    </row>
    <row r="339" spans="1:1">
      <c r="A339" s="12" t="s">
        <v>191</v>
      </c>
    </row>
    <row r="340" spans="1:1">
      <c r="A340" s="17" t="s">
        <v>180</v>
      </c>
    </row>
    <row r="341" spans="1:1">
      <c r="A341" s="8" t="s">
        <v>127</v>
      </c>
    </row>
  </sheetData>
  <mergeCells count="6">
    <mergeCell ref="C5:I5"/>
    <mergeCell ref="L5:S5"/>
    <mergeCell ref="V5:W5"/>
    <mergeCell ref="Z5:AD5"/>
    <mergeCell ref="C3:S3"/>
    <mergeCell ref="V3:AD3"/>
  </mergeCells>
  <hyperlinks>
    <hyperlink ref="A155" r:id="rId1" display="https://hogarmexicano.com.mx/mejores-marcas-de-maquinas-de-coser-industriales/" xr:uid="{75E57468-9078-463E-9E05-59887C421B3E}"/>
    <hyperlink ref="A157" r:id="rId2" display="https://www.casarizo.com/" xr:uid="{2B0EE8B5-21FE-4BCF-BF92-F3B83B40F977}"/>
    <hyperlink ref="A164" r:id="rId3" display="https://hogarmexicano.com.mx/mejores-marcas-de-maquinas-de-coser-industriales/" xr:uid="{D118BE07-9A3E-47BC-9DCA-C264FAC25C9D}"/>
    <hyperlink ref="A166" r:id="rId4" display="https://www.casarizo.com/" xr:uid="{F1D036A2-F43E-4280-BC2D-266022B16998}"/>
    <hyperlink ref="A173" r:id="rId5" display="https://hogarmexicano.com.mx/mejores-marcas-de-maquinas-de-coser-industriales/" xr:uid="{B1E04A79-7FCA-4B34-B5D7-07FA49339935}"/>
    <hyperlink ref="A175" r:id="rId6" display="https://www.casarizo.com/" xr:uid="{D0B97A3F-A847-485C-AC67-B6F36EFFE0FB}"/>
    <hyperlink ref="A182" r:id="rId7" display="https://hogarmexicano.com.mx/mejores-marcas-de-maquinas-de-coser-industriales/" xr:uid="{C77B3385-CB2F-4735-AEE4-EBACABD9E154}"/>
    <hyperlink ref="A189" r:id="rId8" display="https://www.casadiaz.com.mx/articulos/1/maquinas-de-coser-industriales" xr:uid="{D5393734-5ED6-476D-BBD3-D785F08CBB26}"/>
    <hyperlink ref="A225" r:id="rId9" display="https://www.casadiaz.com.mx/articulos/1/maquinas-de-coser-industriales" xr:uid="{1F22C95A-B77F-4036-9E0A-9B58460E9FFD}"/>
    <hyperlink ref="A227" r:id="rId10" display="https://www.casarizo.com/" xr:uid="{1CA89E4C-9D8B-4EF5-9534-3C6E722730A2}"/>
    <hyperlink ref="A297" r:id="rId11" display="https://fabricacionindustrial.com/como-se-fabrican-mochilas-el-proceso-de-produccion-paso-a-paso/" xr:uid="{A70B9276-3530-4CE7-876A-C61399227F24}"/>
    <hyperlink ref="A299" r:id="rId12" display="https://plasticflash.com/materiales-para-fabricar-mochilas/" xr:uid="{647FF142-EE53-43BE-9DF4-29AD937872C5}"/>
    <hyperlink ref="A302" r:id="rId13" display="https://plasticflash.com/materiales-para-fabricar-mochilas/" xr:uid="{AA3C1CF5-5D7D-4FEE-A892-E67566E126F7}"/>
    <hyperlink ref="A304" r:id="rId14" display="https://plasticflash.com/tienda/" xr:uid="{7AFA1AF3-1320-4663-864F-B390CBC90DE2}"/>
    <hyperlink ref="A307" r:id="rId15" display="https://plasticflash.com/materiales-para-fabricar-mochilas/" xr:uid="{81EE7476-0AC0-46E0-8CA3-CB5667423EA7}"/>
    <hyperlink ref="A309" r:id="rId16" display="https://plasticflash.com/tienda/" xr:uid="{7D9F95C4-7F77-4F95-B86A-8C384D3D5866}"/>
    <hyperlink ref="A312" r:id="rId17" display="https://plasticflash.com/materiales-para-fabricar-mochilas/" xr:uid="{89698691-C1EA-43E1-9118-B018C2E7C04E}"/>
    <hyperlink ref="A314" r:id="rId18" display="https://plasticflash.com/tienda/" xr:uid="{D18DCEEF-1A27-4AEA-9573-FD023B68E4F0}"/>
    <hyperlink ref="A320" r:id="rId19" display="https://plasticflash.com/materiales-para-fabricar-mochilas/" xr:uid="{5777AED7-826C-4C0A-9647-2C49F7FEA181}"/>
    <hyperlink ref="A323" r:id="rId20" display="https://fabricacionindustrial.com/como-se-fabrican-mochilas-el-proceso-de-produccion-paso-a-paso/" xr:uid="{1BF7E13C-C442-4FF1-95D2-0A1D02F8D670}"/>
    <hyperlink ref="A325" r:id="rId21" display="https://plasticflash.com/materiales-para-fabricar-mochilas/" xr:uid="{9561D0A3-AC0E-4BFA-9593-D9D779F26246}"/>
    <hyperlink ref="A328" r:id="rId22" display="https://plasticflash.com/tienda/" xr:uid="{7030D9E3-D92E-4C00-B7EC-3291CDCCE908}"/>
    <hyperlink ref="A331" r:id="rId23" display="https://plasticflash.com/materiales-para-fabricar-mochilas/" xr:uid="{91F66B93-7F69-4A1A-B784-D61C63D66044}"/>
    <hyperlink ref="A333" r:id="rId24" display="https://plasticflash.com/tienda/" xr:uid="{7C322439-3531-40FA-AAAD-4C86FFE00F06}"/>
    <hyperlink ref="A340" r:id="rId25" display="https://plasticflash.com/materiales-para-fabricar-mochilas/" xr:uid="{D2E7B49A-E112-4DD3-881C-D5D71DAD4B6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2BC85-3CD6-4C81-B5D0-3AB23F0B4844}">
  <dimension ref="A1:EJ62"/>
  <sheetViews>
    <sheetView topLeftCell="A11" zoomScale="115" zoomScaleNormal="115" workbookViewId="0">
      <selection activeCell="A32" sqref="A32"/>
    </sheetView>
  </sheetViews>
  <sheetFormatPr defaultColWidth="11.42578125" defaultRowHeight="14.45"/>
  <cols>
    <col min="1" max="1" width="45.85546875" style="22" bestFit="1" customWidth="1"/>
    <col min="2" max="4" width="15.7109375" style="22" bestFit="1" customWidth="1"/>
    <col min="5" max="5" width="16" style="22" bestFit="1" customWidth="1"/>
    <col min="6" max="6" width="15.7109375" style="22" bestFit="1" customWidth="1"/>
    <col min="7" max="7" width="16.7109375" style="22" bestFit="1" customWidth="1"/>
    <col min="8" max="8" width="15.5703125" style="22" bestFit="1" customWidth="1"/>
    <col min="9" max="10" width="16.7109375" style="22" bestFit="1" customWidth="1"/>
    <col min="11" max="11" width="16" style="22" bestFit="1" customWidth="1"/>
    <col min="12" max="12" width="16.7109375" style="22" bestFit="1" customWidth="1"/>
    <col min="13" max="13" width="17" style="22" bestFit="1" customWidth="1"/>
    <col min="14" max="14" width="17.5703125" style="22" bestFit="1" customWidth="1"/>
    <col min="15" max="15" width="6.5703125" style="22" bestFit="1" customWidth="1"/>
    <col min="16" max="17" width="17" style="22" bestFit="1" customWidth="1"/>
    <col min="18" max="18" width="16.7109375" style="22" bestFit="1" customWidth="1"/>
    <col min="19" max="19" width="17.28515625" style="22" bestFit="1" customWidth="1"/>
    <col min="20" max="20" width="16.7109375" style="22" bestFit="1" customWidth="1"/>
    <col min="21" max="21" width="15.7109375" style="22" bestFit="1" customWidth="1"/>
    <col min="22" max="22" width="16.7109375" style="22" bestFit="1" customWidth="1"/>
    <col min="23" max="24" width="16.5703125" style="22" bestFit="1" customWidth="1"/>
    <col min="25" max="25" width="16.28515625" style="22" bestFit="1" customWidth="1"/>
    <col min="26" max="26" width="17" style="22" bestFit="1" customWidth="1"/>
    <col min="27" max="27" width="17.28515625" style="22" bestFit="1" customWidth="1"/>
    <col min="28" max="28" width="17.5703125" style="22" bestFit="1" customWidth="1"/>
    <col min="29" max="29" width="6.5703125" style="22" bestFit="1" customWidth="1"/>
    <col min="30" max="30" width="17.28515625" style="22" bestFit="1" customWidth="1"/>
    <col min="31" max="31" width="16" style="22" bestFit="1" customWidth="1"/>
    <col min="32" max="33" width="16.7109375" style="22" bestFit="1" customWidth="1"/>
    <col min="34" max="34" width="17" style="22" bestFit="1" customWidth="1"/>
    <col min="35" max="35" width="16.28515625" style="22" bestFit="1" customWidth="1"/>
    <col min="36" max="36" width="15.5703125" style="22" bestFit="1" customWidth="1"/>
    <col min="37" max="37" width="17.5703125" style="22" bestFit="1" customWidth="1"/>
    <col min="38" max="38" width="17" style="22" bestFit="1" customWidth="1"/>
    <col min="39" max="39" width="16.5703125" style="22" bestFit="1" customWidth="1"/>
    <col min="40" max="40" width="17" style="22" bestFit="1" customWidth="1"/>
    <col min="41" max="41" width="16.5703125" style="22" bestFit="1" customWidth="1"/>
    <col min="42" max="42" width="17.5703125" style="22" bestFit="1" customWidth="1"/>
    <col min="43" max="43" width="6.5703125" style="22" bestFit="1" customWidth="1"/>
    <col min="44" max="44" width="17" style="22" bestFit="1" customWidth="1"/>
    <col min="45" max="45" width="16.7109375" style="22" bestFit="1" customWidth="1"/>
    <col min="46" max="48" width="17.28515625" style="22" bestFit="1" customWidth="1"/>
    <col min="49" max="49" width="17.85546875" style="22" bestFit="1" customWidth="1"/>
    <col min="50" max="50" width="16.85546875" style="22" bestFit="1" customWidth="1"/>
    <col min="51" max="51" width="17.28515625" style="22" bestFit="1" customWidth="1"/>
    <col min="52" max="52" width="18" style="22" bestFit="1" customWidth="1"/>
    <col min="53" max="53" width="17" style="22" bestFit="1" customWidth="1"/>
    <col min="54" max="54" width="17.28515625" style="22" bestFit="1" customWidth="1"/>
    <col min="55" max="56" width="17.85546875" style="22" bestFit="1" customWidth="1"/>
    <col min="57" max="57" width="6.5703125" style="22" bestFit="1" customWidth="1"/>
    <col min="58" max="58" width="17.28515625" style="22" bestFit="1" customWidth="1"/>
    <col min="59" max="59" width="18" style="22" bestFit="1" customWidth="1"/>
    <col min="60" max="60" width="17.5703125" style="22" bestFit="1" customWidth="1"/>
    <col min="61" max="62" width="17.85546875" style="22" bestFit="1" customWidth="1"/>
    <col min="63" max="64" width="17.28515625" style="22" bestFit="1" customWidth="1"/>
    <col min="65" max="65" width="17.85546875" style="22" bestFit="1" customWidth="1"/>
    <col min="66" max="66" width="17.28515625" style="22" bestFit="1" customWidth="1"/>
    <col min="67" max="67" width="17.5703125" style="22" bestFit="1" customWidth="1"/>
    <col min="68" max="68" width="17.85546875" style="22" bestFit="1" customWidth="1"/>
    <col min="69" max="70" width="17.5703125" style="22" bestFit="1" customWidth="1"/>
    <col min="71" max="71" width="6.5703125" style="22" bestFit="1" customWidth="1"/>
    <col min="72" max="72" width="17.5703125" style="22" bestFit="1" customWidth="1"/>
    <col min="73" max="73" width="17.85546875" style="22" bestFit="1" customWidth="1"/>
    <col min="74" max="74" width="16.85546875" style="22" bestFit="1" customWidth="1"/>
    <col min="75" max="75" width="17.28515625" style="22" bestFit="1" customWidth="1"/>
    <col min="76" max="76" width="18" style="22" bestFit="1" customWidth="1"/>
    <col min="77" max="77" width="18.28515625" style="22" bestFit="1" customWidth="1"/>
    <col min="78" max="78" width="17.5703125" style="22" bestFit="1" customWidth="1"/>
    <col min="79" max="79" width="18" style="22" bestFit="1" customWidth="1"/>
    <col min="80" max="80" width="18.28515625" style="22" bestFit="1" customWidth="1"/>
    <col min="81" max="81" width="18.85546875" style="22" bestFit="1" customWidth="1"/>
    <col min="82" max="82" width="17.28515625" style="22" bestFit="1" customWidth="1"/>
    <col min="83" max="84" width="17.5703125" style="22" bestFit="1" customWidth="1"/>
    <col min="85" max="85" width="6.5703125" style="22" bestFit="1" customWidth="1"/>
    <col min="86" max="86" width="17.85546875" style="22" bestFit="1" customWidth="1"/>
    <col min="87" max="87" width="18" style="22" bestFit="1" customWidth="1"/>
    <col min="88" max="88" width="17.85546875" style="22" bestFit="1" customWidth="1"/>
    <col min="89" max="89" width="17.28515625" style="22" bestFit="1" customWidth="1"/>
    <col min="90" max="90" width="17.85546875" style="22" bestFit="1" customWidth="1"/>
    <col min="91" max="93" width="18.28515625" style="22" bestFit="1" customWidth="1"/>
    <col min="94" max="94" width="17.85546875" style="22" bestFit="1" customWidth="1"/>
    <col min="95" max="95" width="18.28515625" style="22" bestFit="1" customWidth="1"/>
    <col min="96" max="96" width="17.5703125" style="22" bestFit="1" customWidth="1"/>
    <col min="97" max="98" width="18" style="22" bestFit="1" customWidth="1"/>
    <col min="99" max="99" width="6.5703125" style="22" bestFit="1" customWidth="1"/>
    <col min="100" max="100" width="17" style="22" bestFit="1" customWidth="1"/>
    <col min="101" max="101" width="17.85546875" style="22" bestFit="1" customWidth="1"/>
    <col min="102" max="104" width="18.28515625" style="22" bestFit="1" customWidth="1"/>
    <col min="105" max="105" width="18" style="22" bestFit="1" customWidth="1"/>
    <col min="106" max="106" width="18.85546875" style="22" bestFit="1" customWidth="1"/>
    <col min="107" max="107" width="18" style="22" bestFit="1" customWidth="1"/>
    <col min="108" max="108" width="17.5703125" style="22" bestFit="1" customWidth="1"/>
    <col min="109" max="109" width="17.28515625" style="22" bestFit="1" customWidth="1"/>
    <col min="110" max="110" width="17.5703125" style="22" bestFit="1" customWidth="1"/>
    <col min="111" max="112" width="18" style="22" bestFit="1" customWidth="1"/>
    <col min="113" max="113" width="6.5703125" style="22" bestFit="1" customWidth="1"/>
    <col min="114" max="116" width="18.28515625" style="22" bestFit="1" customWidth="1"/>
    <col min="117" max="117" width="18" style="22" bestFit="1" customWidth="1"/>
    <col min="118" max="118" width="17.5703125" style="22" bestFit="1" customWidth="1"/>
    <col min="119" max="119" width="17.85546875" style="22" bestFit="1" customWidth="1"/>
    <col min="120" max="120" width="17.5703125" style="22" bestFit="1" customWidth="1"/>
    <col min="121" max="121" width="18.28515625" style="22" bestFit="1" customWidth="1"/>
    <col min="122" max="122" width="17.85546875" style="22" bestFit="1" customWidth="1"/>
    <col min="123" max="123" width="18.5703125" style="22" bestFit="1" customWidth="1"/>
    <col min="124" max="124" width="17.5703125" style="22" bestFit="1" customWidth="1"/>
    <col min="125" max="126" width="18" style="22" bestFit="1" customWidth="1"/>
    <col min="127" max="127" width="6.5703125" style="22" bestFit="1" customWidth="1"/>
    <col min="128" max="128" width="17.28515625" style="22" bestFit="1" customWidth="1"/>
    <col min="129" max="130" width="18" style="22" bestFit="1" customWidth="1"/>
    <col min="131" max="131" width="16.85546875" style="22" bestFit="1" customWidth="1"/>
    <col min="132" max="132" width="17.5703125" style="22" bestFit="1" customWidth="1"/>
    <col min="133" max="133" width="18.28515625" style="22" bestFit="1" customWidth="1"/>
    <col min="134" max="134" width="17.85546875" style="22" bestFit="1" customWidth="1"/>
    <col min="135" max="135" width="18" style="22" bestFit="1" customWidth="1"/>
    <col min="136" max="136" width="18.28515625" style="22" bestFit="1" customWidth="1"/>
    <col min="137" max="137" width="17.85546875" style="22" bestFit="1" customWidth="1"/>
    <col min="138" max="138" width="17.5703125" style="22" bestFit="1" customWidth="1"/>
    <col min="139" max="139" width="17" style="22" bestFit="1" customWidth="1"/>
    <col min="140" max="140" width="18.85546875" style="22" bestFit="1" customWidth="1"/>
    <col min="141" max="16384" width="11.42578125" style="22"/>
  </cols>
  <sheetData>
    <row r="1" spans="1:140" ht="25.9">
      <c r="A1" s="40" t="s">
        <v>192</v>
      </c>
    </row>
    <row r="2" spans="1:140" s="33" customFormat="1" ht="16.5" customHeight="1"/>
    <row r="3" spans="1:140">
      <c r="A3" s="32" t="s">
        <v>193</v>
      </c>
      <c r="B3" s="34"/>
      <c r="C3" s="34"/>
      <c r="D3" s="34"/>
      <c r="E3" s="34"/>
      <c r="F3" s="34"/>
      <c r="G3" s="34"/>
      <c r="H3" s="34"/>
      <c r="I3" s="34"/>
      <c r="J3" s="34"/>
      <c r="K3" s="34"/>
      <c r="L3" s="34"/>
      <c r="M3" s="34"/>
      <c r="P3" s="24">
        <v>0.03</v>
      </c>
      <c r="R3" s="23"/>
      <c r="AD3" s="24">
        <v>0.05</v>
      </c>
      <c r="AF3" s="23"/>
      <c r="AR3" s="24">
        <v>0.05</v>
      </c>
      <c r="AT3" s="23"/>
      <c r="BF3" s="24">
        <v>0.05</v>
      </c>
      <c r="BH3" s="23"/>
      <c r="BT3" s="24">
        <v>0.05</v>
      </c>
      <c r="BV3" s="23"/>
      <c r="CH3" s="24">
        <v>0.05</v>
      </c>
      <c r="CJ3" s="23"/>
      <c r="CV3" s="24">
        <v>0.05</v>
      </c>
      <c r="CX3" s="23"/>
      <c r="DJ3" s="24">
        <v>0.05</v>
      </c>
      <c r="DL3" s="23"/>
      <c r="DX3" s="24">
        <v>0.05</v>
      </c>
      <c r="DZ3" s="23"/>
    </row>
    <row r="4" spans="1:140">
      <c r="A4" s="32" t="s">
        <v>194</v>
      </c>
      <c r="B4" s="35"/>
      <c r="C4" s="35"/>
      <c r="D4" s="35"/>
      <c r="E4" s="35"/>
      <c r="F4" s="35"/>
      <c r="G4" s="35"/>
      <c r="H4" s="35"/>
      <c r="I4" s="35"/>
      <c r="J4" s="35"/>
      <c r="K4" s="35"/>
      <c r="L4" s="35"/>
      <c r="M4" s="35"/>
      <c r="P4" s="24">
        <v>7.0000000000000007E-2</v>
      </c>
      <c r="AD4" s="24">
        <v>0.06</v>
      </c>
      <c r="AR4" s="24">
        <v>0.06</v>
      </c>
      <c r="BF4" s="24">
        <v>0.06</v>
      </c>
      <c r="BT4" s="24">
        <v>0.06</v>
      </c>
      <c r="CH4" s="24">
        <v>0.06</v>
      </c>
      <c r="CV4" s="24">
        <v>0.06</v>
      </c>
      <c r="DJ4" s="24">
        <v>0.06</v>
      </c>
      <c r="DX4" s="24">
        <v>0.06</v>
      </c>
    </row>
    <row r="5" spans="1:140" s="58" customFormat="1">
      <c r="A5" s="25" t="s">
        <v>195</v>
      </c>
      <c r="B5" s="101" t="s">
        <v>196</v>
      </c>
      <c r="C5" s="101"/>
      <c r="D5" s="101"/>
      <c r="E5" s="101"/>
      <c r="F5" s="101"/>
      <c r="G5" s="101"/>
      <c r="H5" s="101"/>
      <c r="I5" s="101"/>
      <c r="J5" s="101"/>
      <c r="K5" s="101"/>
      <c r="L5" s="101"/>
      <c r="M5" s="101"/>
      <c r="N5" s="101"/>
      <c r="O5" s="57"/>
      <c r="P5" s="101" t="s">
        <v>197</v>
      </c>
      <c r="Q5" s="101"/>
      <c r="R5" s="101"/>
      <c r="S5" s="101"/>
      <c r="T5" s="101"/>
      <c r="U5" s="101"/>
      <c r="V5" s="101"/>
      <c r="W5" s="101"/>
      <c r="X5" s="101"/>
      <c r="Y5" s="101"/>
      <c r="Z5" s="101"/>
      <c r="AA5" s="101"/>
      <c r="AB5" s="101"/>
      <c r="AC5" s="57"/>
      <c r="AD5" s="101" t="s">
        <v>198</v>
      </c>
      <c r="AE5" s="101"/>
      <c r="AF5" s="101"/>
      <c r="AG5" s="101"/>
      <c r="AH5" s="101"/>
      <c r="AI5" s="101"/>
      <c r="AJ5" s="101"/>
      <c r="AK5" s="101"/>
      <c r="AL5" s="101"/>
      <c r="AM5" s="101"/>
      <c r="AN5" s="101"/>
      <c r="AO5" s="101"/>
      <c r="AP5" s="101"/>
      <c r="AQ5" s="57"/>
      <c r="AR5" s="101" t="s">
        <v>199</v>
      </c>
      <c r="AS5" s="101"/>
      <c r="AT5" s="101"/>
      <c r="AU5" s="101"/>
      <c r="AV5" s="101"/>
      <c r="AW5" s="101"/>
      <c r="AX5" s="101"/>
      <c r="AY5" s="101"/>
      <c r="AZ5" s="101"/>
      <c r="BA5" s="101"/>
      <c r="BB5" s="101"/>
      <c r="BC5" s="101"/>
      <c r="BD5" s="101"/>
      <c r="BE5" s="57"/>
      <c r="BF5" s="101" t="s">
        <v>200</v>
      </c>
      <c r="BG5" s="101"/>
      <c r="BH5" s="101"/>
      <c r="BI5" s="101"/>
      <c r="BJ5" s="101"/>
      <c r="BK5" s="101"/>
      <c r="BL5" s="101"/>
      <c r="BM5" s="101"/>
      <c r="BN5" s="101"/>
      <c r="BO5" s="101"/>
      <c r="BP5" s="101"/>
      <c r="BQ5" s="101"/>
      <c r="BR5" s="101"/>
      <c r="BS5" s="57"/>
      <c r="BT5" s="101" t="s">
        <v>201</v>
      </c>
      <c r="BU5" s="101"/>
      <c r="BV5" s="101"/>
      <c r="BW5" s="101"/>
      <c r="BX5" s="101"/>
      <c r="BY5" s="101"/>
      <c r="BZ5" s="101"/>
      <c r="CA5" s="101"/>
      <c r="CB5" s="101"/>
      <c r="CC5" s="101"/>
      <c r="CD5" s="101"/>
      <c r="CE5" s="101"/>
      <c r="CF5" s="101"/>
      <c r="CG5" s="57"/>
      <c r="CH5" s="101" t="s">
        <v>202</v>
      </c>
      <c r="CI5" s="101"/>
      <c r="CJ5" s="101"/>
      <c r="CK5" s="101"/>
      <c r="CL5" s="101"/>
      <c r="CM5" s="101"/>
      <c r="CN5" s="101"/>
      <c r="CO5" s="101"/>
      <c r="CP5" s="101"/>
      <c r="CQ5" s="101"/>
      <c r="CR5" s="101"/>
      <c r="CS5" s="101"/>
      <c r="CT5" s="101"/>
      <c r="CU5" s="57"/>
      <c r="CV5" s="101" t="s">
        <v>203</v>
      </c>
      <c r="CW5" s="101"/>
      <c r="CX5" s="101"/>
      <c r="CY5" s="101"/>
      <c r="CZ5" s="101"/>
      <c r="DA5" s="101"/>
      <c r="DB5" s="101"/>
      <c r="DC5" s="101"/>
      <c r="DD5" s="101"/>
      <c r="DE5" s="101"/>
      <c r="DF5" s="101"/>
      <c r="DG5" s="101"/>
      <c r="DH5" s="101"/>
      <c r="DI5" s="57"/>
      <c r="DJ5" s="101" t="s">
        <v>204</v>
      </c>
      <c r="DK5" s="101"/>
      <c r="DL5" s="101"/>
      <c r="DM5" s="101"/>
      <c r="DN5" s="101"/>
      <c r="DO5" s="101"/>
      <c r="DP5" s="101"/>
      <c r="DQ5" s="101"/>
      <c r="DR5" s="101"/>
      <c r="DS5" s="101"/>
      <c r="DT5" s="101"/>
      <c r="DU5" s="101"/>
      <c r="DV5" s="101"/>
      <c r="DW5" s="57"/>
      <c r="DX5" s="101" t="s">
        <v>205</v>
      </c>
      <c r="DY5" s="101"/>
      <c r="DZ5" s="101"/>
      <c r="EA5" s="101"/>
      <c r="EB5" s="101"/>
      <c r="EC5" s="101"/>
      <c r="ED5" s="101"/>
      <c r="EE5" s="101"/>
      <c r="EF5" s="101"/>
      <c r="EG5" s="101"/>
      <c r="EH5" s="101"/>
      <c r="EI5" s="101"/>
      <c r="EJ5" s="101"/>
    </row>
    <row r="6" spans="1:140" s="26" customFormat="1">
      <c r="A6" s="27" t="s">
        <v>206</v>
      </c>
      <c r="B6" s="26" t="s">
        <v>207</v>
      </c>
      <c r="C6" s="26" t="s">
        <v>208</v>
      </c>
      <c r="D6" s="26" t="s">
        <v>209</v>
      </c>
      <c r="E6" s="26" t="s">
        <v>210</v>
      </c>
      <c r="F6" s="26" t="s">
        <v>211</v>
      </c>
      <c r="G6" s="26" t="s">
        <v>212</v>
      </c>
      <c r="H6" s="26" t="s">
        <v>213</v>
      </c>
      <c r="I6" s="26" t="s">
        <v>214</v>
      </c>
      <c r="J6" s="26" t="s">
        <v>215</v>
      </c>
      <c r="K6" s="26" t="s">
        <v>216</v>
      </c>
      <c r="L6" s="26" t="s">
        <v>217</v>
      </c>
      <c r="M6" s="26" t="s">
        <v>218</v>
      </c>
      <c r="N6" s="28" t="s">
        <v>219</v>
      </c>
      <c r="O6" s="28" t="s">
        <v>220</v>
      </c>
      <c r="P6" s="26" t="s">
        <v>207</v>
      </c>
      <c r="Q6" s="26" t="s">
        <v>208</v>
      </c>
      <c r="R6" s="26" t="s">
        <v>209</v>
      </c>
      <c r="S6" s="26" t="s">
        <v>210</v>
      </c>
      <c r="T6" s="26" t="s">
        <v>211</v>
      </c>
      <c r="U6" s="26" t="s">
        <v>212</v>
      </c>
      <c r="V6" s="26" t="s">
        <v>213</v>
      </c>
      <c r="W6" s="26" t="s">
        <v>214</v>
      </c>
      <c r="X6" s="26" t="s">
        <v>215</v>
      </c>
      <c r="Y6" s="26" t="s">
        <v>216</v>
      </c>
      <c r="Z6" s="26" t="s">
        <v>217</v>
      </c>
      <c r="AA6" s="26" t="s">
        <v>218</v>
      </c>
      <c r="AB6" s="28" t="s">
        <v>219</v>
      </c>
      <c r="AC6" s="28" t="s">
        <v>220</v>
      </c>
      <c r="AD6" s="26" t="s">
        <v>207</v>
      </c>
      <c r="AE6" s="26" t="s">
        <v>208</v>
      </c>
      <c r="AF6" s="26" t="s">
        <v>209</v>
      </c>
      <c r="AG6" s="26" t="s">
        <v>210</v>
      </c>
      <c r="AH6" s="26" t="s">
        <v>211</v>
      </c>
      <c r="AI6" s="26" t="s">
        <v>212</v>
      </c>
      <c r="AJ6" s="26" t="s">
        <v>213</v>
      </c>
      <c r="AK6" s="26" t="s">
        <v>214</v>
      </c>
      <c r="AL6" s="26" t="s">
        <v>215</v>
      </c>
      <c r="AM6" s="26" t="s">
        <v>216</v>
      </c>
      <c r="AN6" s="26" t="s">
        <v>217</v>
      </c>
      <c r="AO6" s="26" t="s">
        <v>218</v>
      </c>
      <c r="AP6" s="28" t="s">
        <v>219</v>
      </c>
      <c r="AQ6" s="28" t="s">
        <v>220</v>
      </c>
      <c r="AR6" s="26" t="s">
        <v>207</v>
      </c>
      <c r="AS6" s="26" t="s">
        <v>208</v>
      </c>
      <c r="AT6" s="26" t="s">
        <v>209</v>
      </c>
      <c r="AU6" s="26" t="s">
        <v>210</v>
      </c>
      <c r="AV6" s="26" t="s">
        <v>211</v>
      </c>
      <c r="AW6" s="26" t="s">
        <v>212</v>
      </c>
      <c r="AX6" s="26" t="s">
        <v>213</v>
      </c>
      <c r="AY6" s="26" t="s">
        <v>214</v>
      </c>
      <c r="AZ6" s="26" t="s">
        <v>215</v>
      </c>
      <c r="BA6" s="26" t="s">
        <v>216</v>
      </c>
      <c r="BB6" s="26" t="s">
        <v>217</v>
      </c>
      <c r="BC6" s="26" t="s">
        <v>218</v>
      </c>
      <c r="BD6" s="28" t="s">
        <v>219</v>
      </c>
      <c r="BE6" s="28" t="s">
        <v>220</v>
      </c>
      <c r="BF6" s="26" t="s">
        <v>207</v>
      </c>
      <c r="BG6" s="26" t="s">
        <v>208</v>
      </c>
      <c r="BH6" s="26" t="s">
        <v>209</v>
      </c>
      <c r="BI6" s="26" t="s">
        <v>210</v>
      </c>
      <c r="BJ6" s="26" t="s">
        <v>211</v>
      </c>
      <c r="BK6" s="26" t="s">
        <v>212</v>
      </c>
      <c r="BL6" s="26" t="s">
        <v>213</v>
      </c>
      <c r="BM6" s="26" t="s">
        <v>214</v>
      </c>
      <c r="BN6" s="26" t="s">
        <v>215</v>
      </c>
      <c r="BO6" s="26" t="s">
        <v>216</v>
      </c>
      <c r="BP6" s="26" t="s">
        <v>217</v>
      </c>
      <c r="BQ6" s="26" t="s">
        <v>218</v>
      </c>
      <c r="BR6" s="28" t="s">
        <v>219</v>
      </c>
      <c r="BS6" s="28" t="s">
        <v>220</v>
      </c>
      <c r="BT6" s="26" t="s">
        <v>207</v>
      </c>
      <c r="BU6" s="26" t="s">
        <v>208</v>
      </c>
      <c r="BV6" s="26" t="s">
        <v>209</v>
      </c>
      <c r="BW6" s="26" t="s">
        <v>210</v>
      </c>
      <c r="BX6" s="26" t="s">
        <v>211</v>
      </c>
      <c r="BY6" s="26" t="s">
        <v>212</v>
      </c>
      <c r="BZ6" s="26" t="s">
        <v>213</v>
      </c>
      <c r="CA6" s="26" t="s">
        <v>214</v>
      </c>
      <c r="CB6" s="26" t="s">
        <v>215</v>
      </c>
      <c r="CC6" s="26" t="s">
        <v>216</v>
      </c>
      <c r="CD6" s="26" t="s">
        <v>217</v>
      </c>
      <c r="CE6" s="26" t="s">
        <v>218</v>
      </c>
      <c r="CF6" s="28" t="s">
        <v>219</v>
      </c>
      <c r="CG6" s="28" t="s">
        <v>220</v>
      </c>
      <c r="CH6" s="26" t="s">
        <v>207</v>
      </c>
      <c r="CI6" s="26" t="s">
        <v>208</v>
      </c>
      <c r="CJ6" s="26" t="s">
        <v>209</v>
      </c>
      <c r="CK6" s="26" t="s">
        <v>210</v>
      </c>
      <c r="CL6" s="26" t="s">
        <v>211</v>
      </c>
      <c r="CM6" s="26" t="s">
        <v>212</v>
      </c>
      <c r="CN6" s="26" t="s">
        <v>213</v>
      </c>
      <c r="CO6" s="26" t="s">
        <v>214</v>
      </c>
      <c r="CP6" s="26" t="s">
        <v>215</v>
      </c>
      <c r="CQ6" s="26" t="s">
        <v>216</v>
      </c>
      <c r="CR6" s="26" t="s">
        <v>217</v>
      </c>
      <c r="CS6" s="26" t="s">
        <v>218</v>
      </c>
      <c r="CT6" s="28" t="s">
        <v>219</v>
      </c>
      <c r="CU6" s="28" t="s">
        <v>220</v>
      </c>
      <c r="CV6" s="26" t="s">
        <v>207</v>
      </c>
      <c r="CW6" s="26" t="s">
        <v>208</v>
      </c>
      <c r="CX6" s="26" t="s">
        <v>209</v>
      </c>
      <c r="CY6" s="26" t="s">
        <v>210</v>
      </c>
      <c r="CZ6" s="26" t="s">
        <v>211</v>
      </c>
      <c r="DA6" s="26" t="s">
        <v>212</v>
      </c>
      <c r="DB6" s="26" t="s">
        <v>213</v>
      </c>
      <c r="DC6" s="26" t="s">
        <v>214</v>
      </c>
      <c r="DD6" s="26" t="s">
        <v>215</v>
      </c>
      <c r="DE6" s="26" t="s">
        <v>216</v>
      </c>
      <c r="DF6" s="26" t="s">
        <v>217</v>
      </c>
      <c r="DG6" s="26" t="s">
        <v>218</v>
      </c>
      <c r="DH6" s="28" t="s">
        <v>219</v>
      </c>
      <c r="DI6" s="28" t="s">
        <v>220</v>
      </c>
      <c r="DJ6" s="26" t="s">
        <v>207</v>
      </c>
      <c r="DK6" s="26" t="s">
        <v>208</v>
      </c>
      <c r="DL6" s="26" t="s">
        <v>209</v>
      </c>
      <c r="DM6" s="26" t="s">
        <v>210</v>
      </c>
      <c r="DN6" s="26" t="s">
        <v>211</v>
      </c>
      <c r="DO6" s="26" t="s">
        <v>212</v>
      </c>
      <c r="DP6" s="26" t="s">
        <v>213</v>
      </c>
      <c r="DQ6" s="26" t="s">
        <v>214</v>
      </c>
      <c r="DR6" s="26" t="s">
        <v>215</v>
      </c>
      <c r="DS6" s="26" t="s">
        <v>216</v>
      </c>
      <c r="DT6" s="26" t="s">
        <v>217</v>
      </c>
      <c r="DU6" s="26" t="s">
        <v>218</v>
      </c>
      <c r="DV6" s="28" t="s">
        <v>219</v>
      </c>
      <c r="DW6" s="28" t="s">
        <v>220</v>
      </c>
      <c r="DX6" s="26" t="s">
        <v>207</v>
      </c>
      <c r="DY6" s="26" t="s">
        <v>208</v>
      </c>
      <c r="DZ6" s="26" t="s">
        <v>209</v>
      </c>
      <c r="EA6" s="26" t="s">
        <v>210</v>
      </c>
      <c r="EB6" s="26" t="s">
        <v>211</v>
      </c>
      <c r="EC6" s="26" t="s">
        <v>212</v>
      </c>
      <c r="ED6" s="26" t="s">
        <v>213</v>
      </c>
      <c r="EE6" s="26" t="s">
        <v>214</v>
      </c>
      <c r="EF6" s="26" t="s">
        <v>215</v>
      </c>
      <c r="EG6" s="26" t="s">
        <v>216</v>
      </c>
      <c r="EH6" s="26" t="s">
        <v>217</v>
      </c>
      <c r="EI6" s="26" t="s">
        <v>218</v>
      </c>
      <c r="EJ6" s="28" t="s">
        <v>219</v>
      </c>
    </row>
    <row r="7" spans="1:140" s="29" customFormat="1">
      <c r="A7" s="29" t="s">
        <v>221</v>
      </c>
      <c r="B7" s="36">
        <v>1480</v>
      </c>
      <c r="C7" s="36">
        <f>B7*(1+C3)</f>
        <v>1480</v>
      </c>
      <c r="D7" s="36">
        <f t="shared" ref="D7:M7" si="0">C7*(1+D3)</f>
        <v>1480</v>
      </c>
      <c r="E7" s="36">
        <f t="shared" si="0"/>
        <v>1480</v>
      </c>
      <c r="F7" s="36">
        <f t="shared" si="0"/>
        <v>1480</v>
      </c>
      <c r="G7" s="36">
        <f t="shared" si="0"/>
        <v>1480</v>
      </c>
      <c r="H7" s="36">
        <f t="shared" si="0"/>
        <v>1480</v>
      </c>
      <c r="I7" s="36">
        <f t="shared" si="0"/>
        <v>1480</v>
      </c>
      <c r="J7" s="36">
        <f t="shared" si="0"/>
        <v>1480</v>
      </c>
      <c r="K7" s="36">
        <f t="shared" si="0"/>
        <v>1480</v>
      </c>
      <c r="L7" s="36">
        <f t="shared" si="0"/>
        <v>1480</v>
      </c>
      <c r="M7" s="36">
        <f t="shared" si="0"/>
        <v>1480</v>
      </c>
      <c r="N7" s="37">
        <f>SUM(B7:M7)</f>
        <v>17760</v>
      </c>
      <c r="O7" s="38">
        <v>1</v>
      </c>
      <c r="P7" s="36">
        <f>$O$7*B7*(1+$P$3)</f>
        <v>1524.4</v>
      </c>
      <c r="Q7" s="36">
        <f t="shared" ref="Q7:AA7" si="1">$O$7*C7*(1+$P$3)</f>
        <v>1524.4</v>
      </c>
      <c r="R7" s="36">
        <f t="shared" si="1"/>
        <v>1524.4</v>
      </c>
      <c r="S7" s="36">
        <f t="shared" si="1"/>
        <v>1524.4</v>
      </c>
      <c r="T7" s="36">
        <f t="shared" si="1"/>
        <v>1524.4</v>
      </c>
      <c r="U7" s="36">
        <f t="shared" si="1"/>
        <v>1524.4</v>
      </c>
      <c r="V7" s="36">
        <f t="shared" si="1"/>
        <v>1524.4</v>
      </c>
      <c r="W7" s="36">
        <f t="shared" si="1"/>
        <v>1524.4</v>
      </c>
      <c r="X7" s="36">
        <f t="shared" si="1"/>
        <v>1524.4</v>
      </c>
      <c r="Y7" s="36">
        <f t="shared" si="1"/>
        <v>1524.4</v>
      </c>
      <c r="Z7" s="36">
        <f t="shared" si="1"/>
        <v>1524.4</v>
      </c>
      <c r="AA7" s="36">
        <f t="shared" si="1"/>
        <v>1524.4</v>
      </c>
      <c r="AB7" s="37">
        <f>SUM(P7:AA7)</f>
        <v>18292.8</v>
      </c>
      <c r="AC7" s="38">
        <v>1</v>
      </c>
      <c r="AD7" s="36">
        <f>$AC7*P7*(1+$AD$3)</f>
        <v>1600.6200000000001</v>
      </c>
      <c r="AE7" s="36">
        <f t="shared" ref="AE7:AO7" si="2">$AC7*Q7*(1+$AD$3)</f>
        <v>1600.6200000000001</v>
      </c>
      <c r="AF7" s="36">
        <f t="shared" si="2"/>
        <v>1600.6200000000001</v>
      </c>
      <c r="AG7" s="36">
        <f t="shared" si="2"/>
        <v>1600.6200000000001</v>
      </c>
      <c r="AH7" s="36">
        <f t="shared" si="2"/>
        <v>1600.6200000000001</v>
      </c>
      <c r="AI7" s="36">
        <f t="shared" si="2"/>
        <v>1600.6200000000001</v>
      </c>
      <c r="AJ7" s="36">
        <f t="shared" si="2"/>
        <v>1600.6200000000001</v>
      </c>
      <c r="AK7" s="36">
        <f t="shared" si="2"/>
        <v>1600.6200000000001</v>
      </c>
      <c r="AL7" s="36">
        <f t="shared" si="2"/>
        <v>1600.6200000000001</v>
      </c>
      <c r="AM7" s="36">
        <f t="shared" si="2"/>
        <v>1600.6200000000001</v>
      </c>
      <c r="AN7" s="36">
        <f t="shared" si="2"/>
        <v>1600.6200000000001</v>
      </c>
      <c r="AO7" s="36">
        <f t="shared" si="2"/>
        <v>1600.6200000000001</v>
      </c>
      <c r="AP7" s="37">
        <f>SUM(AD7:AO7)</f>
        <v>19207.440000000002</v>
      </c>
      <c r="AQ7" s="38">
        <v>1</v>
      </c>
      <c r="AR7" s="36">
        <f>$AQ7*AD7*(1+$AR$3)</f>
        <v>1680.6510000000003</v>
      </c>
      <c r="AS7" s="36">
        <f t="shared" ref="AS7:BC7" si="3">$AQ7*AE7*(1+$AR$3)</f>
        <v>1680.6510000000003</v>
      </c>
      <c r="AT7" s="36">
        <f t="shared" si="3"/>
        <v>1680.6510000000003</v>
      </c>
      <c r="AU7" s="36">
        <f t="shared" si="3"/>
        <v>1680.6510000000003</v>
      </c>
      <c r="AV7" s="36">
        <f t="shared" si="3"/>
        <v>1680.6510000000003</v>
      </c>
      <c r="AW7" s="36">
        <f t="shared" si="3"/>
        <v>1680.6510000000003</v>
      </c>
      <c r="AX7" s="36">
        <f t="shared" si="3"/>
        <v>1680.6510000000003</v>
      </c>
      <c r="AY7" s="36">
        <f t="shared" si="3"/>
        <v>1680.6510000000003</v>
      </c>
      <c r="AZ7" s="36">
        <f t="shared" si="3"/>
        <v>1680.6510000000003</v>
      </c>
      <c r="BA7" s="36">
        <f t="shared" si="3"/>
        <v>1680.6510000000003</v>
      </c>
      <c r="BB7" s="36">
        <f t="shared" si="3"/>
        <v>1680.6510000000003</v>
      </c>
      <c r="BC7" s="36">
        <f t="shared" si="3"/>
        <v>1680.6510000000003</v>
      </c>
      <c r="BD7" s="37">
        <f>SUM(AR7:BC7)</f>
        <v>20167.812000000005</v>
      </c>
      <c r="BE7" s="38">
        <v>1</v>
      </c>
      <c r="BF7" s="36">
        <f>$BE7*AR7*(1+$BF$3)</f>
        <v>1764.6835500000004</v>
      </c>
      <c r="BG7" s="36">
        <f t="shared" ref="BG7:BQ7" si="4">$BE7*AS7*(1+$BF$3)</f>
        <v>1764.6835500000004</v>
      </c>
      <c r="BH7" s="36">
        <f t="shared" si="4"/>
        <v>1764.6835500000004</v>
      </c>
      <c r="BI7" s="36">
        <f t="shared" si="4"/>
        <v>1764.6835500000004</v>
      </c>
      <c r="BJ7" s="36">
        <f t="shared" si="4"/>
        <v>1764.6835500000004</v>
      </c>
      <c r="BK7" s="36">
        <f t="shared" si="4"/>
        <v>1764.6835500000004</v>
      </c>
      <c r="BL7" s="36">
        <f t="shared" si="4"/>
        <v>1764.6835500000004</v>
      </c>
      <c r="BM7" s="36">
        <f t="shared" si="4"/>
        <v>1764.6835500000004</v>
      </c>
      <c r="BN7" s="36">
        <f t="shared" si="4"/>
        <v>1764.6835500000004</v>
      </c>
      <c r="BO7" s="36">
        <f t="shared" si="4"/>
        <v>1764.6835500000004</v>
      </c>
      <c r="BP7" s="36">
        <f t="shared" si="4"/>
        <v>1764.6835500000004</v>
      </c>
      <c r="BQ7" s="36">
        <f t="shared" si="4"/>
        <v>1764.6835500000004</v>
      </c>
      <c r="BR7" s="37">
        <f>SUM(BF7:BQ7)</f>
        <v>21176.202600000004</v>
      </c>
      <c r="BS7" s="38">
        <v>1</v>
      </c>
      <c r="BT7" s="36">
        <f>$BS7*BF7*(1+$BT$3)</f>
        <v>1852.9177275000004</v>
      </c>
      <c r="BU7" s="36">
        <f t="shared" ref="BU7:CE7" si="5">$BS7*BG7*(1+$BT$3)</f>
        <v>1852.9177275000004</v>
      </c>
      <c r="BV7" s="36">
        <f t="shared" si="5"/>
        <v>1852.9177275000004</v>
      </c>
      <c r="BW7" s="36">
        <f t="shared" si="5"/>
        <v>1852.9177275000004</v>
      </c>
      <c r="BX7" s="36">
        <f t="shared" si="5"/>
        <v>1852.9177275000004</v>
      </c>
      <c r="BY7" s="36">
        <f t="shared" si="5"/>
        <v>1852.9177275000004</v>
      </c>
      <c r="BZ7" s="36">
        <f t="shared" si="5"/>
        <v>1852.9177275000004</v>
      </c>
      <c r="CA7" s="36">
        <f t="shared" si="5"/>
        <v>1852.9177275000004</v>
      </c>
      <c r="CB7" s="36">
        <f t="shared" si="5"/>
        <v>1852.9177275000004</v>
      </c>
      <c r="CC7" s="36">
        <f t="shared" si="5"/>
        <v>1852.9177275000004</v>
      </c>
      <c r="CD7" s="36">
        <f t="shared" si="5"/>
        <v>1852.9177275000004</v>
      </c>
      <c r="CE7" s="36">
        <f t="shared" si="5"/>
        <v>1852.9177275000004</v>
      </c>
      <c r="CF7" s="37">
        <f>SUM(BT7:CE7)</f>
        <v>22235.012730000006</v>
      </c>
      <c r="CG7" s="38">
        <v>1</v>
      </c>
      <c r="CH7" s="36">
        <f>$CG7*BT7*(1+$CH$3)</f>
        <v>1945.5636138750006</v>
      </c>
      <c r="CI7" s="36">
        <f t="shared" ref="CI7:CS7" si="6">$CG7*BU7*(1+$CH$3)</f>
        <v>1945.5636138750006</v>
      </c>
      <c r="CJ7" s="36">
        <f t="shared" si="6"/>
        <v>1945.5636138750006</v>
      </c>
      <c r="CK7" s="36">
        <f t="shared" si="6"/>
        <v>1945.5636138750006</v>
      </c>
      <c r="CL7" s="36">
        <f t="shared" si="6"/>
        <v>1945.5636138750006</v>
      </c>
      <c r="CM7" s="36">
        <f t="shared" si="6"/>
        <v>1945.5636138750006</v>
      </c>
      <c r="CN7" s="36">
        <f t="shared" si="6"/>
        <v>1945.5636138750006</v>
      </c>
      <c r="CO7" s="36">
        <f t="shared" si="6"/>
        <v>1945.5636138750006</v>
      </c>
      <c r="CP7" s="36">
        <f t="shared" si="6"/>
        <v>1945.5636138750006</v>
      </c>
      <c r="CQ7" s="36">
        <f t="shared" si="6"/>
        <v>1945.5636138750006</v>
      </c>
      <c r="CR7" s="36">
        <f t="shared" si="6"/>
        <v>1945.5636138750006</v>
      </c>
      <c r="CS7" s="36">
        <f t="shared" si="6"/>
        <v>1945.5636138750006</v>
      </c>
      <c r="CT7" s="37">
        <f>SUM(CH7:CS7)</f>
        <v>23346.763366500014</v>
      </c>
      <c r="CU7" s="38">
        <v>1</v>
      </c>
      <c r="CV7" s="36">
        <f>$CU7*CH7*(1+$CV$3)</f>
        <v>2042.8417945687506</v>
      </c>
      <c r="CW7" s="36">
        <f t="shared" ref="CW7:DG7" si="7">$CU7*CI7*(1+$CV$3)</f>
        <v>2042.8417945687506</v>
      </c>
      <c r="CX7" s="36">
        <f t="shared" si="7"/>
        <v>2042.8417945687506</v>
      </c>
      <c r="CY7" s="36">
        <f t="shared" si="7"/>
        <v>2042.8417945687506</v>
      </c>
      <c r="CZ7" s="36">
        <f t="shared" si="7"/>
        <v>2042.8417945687506</v>
      </c>
      <c r="DA7" s="36">
        <f t="shared" si="7"/>
        <v>2042.8417945687506</v>
      </c>
      <c r="DB7" s="36">
        <f t="shared" si="7"/>
        <v>2042.8417945687506</v>
      </c>
      <c r="DC7" s="36">
        <f t="shared" si="7"/>
        <v>2042.8417945687506</v>
      </c>
      <c r="DD7" s="36">
        <f t="shared" si="7"/>
        <v>2042.8417945687506</v>
      </c>
      <c r="DE7" s="36">
        <f t="shared" si="7"/>
        <v>2042.8417945687506</v>
      </c>
      <c r="DF7" s="36">
        <f t="shared" si="7"/>
        <v>2042.8417945687506</v>
      </c>
      <c r="DG7" s="36">
        <f t="shared" si="7"/>
        <v>2042.8417945687506</v>
      </c>
      <c r="DH7" s="37">
        <f>SUM(CV7:DG7)</f>
        <v>24514.101534825008</v>
      </c>
      <c r="DI7" s="38">
        <v>1</v>
      </c>
      <c r="DJ7" s="36">
        <f>$DI7*CV7*(1+$DJ$3)</f>
        <v>2144.9838842971881</v>
      </c>
      <c r="DK7" s="36">
        <f t="shared" ref="DK7:DU7" si="8">$DI7*CW7*(1+$DJ$3)</f>
        <v>2144.9838842971881</v>
      </c>
      <c r="DL7" s="36">
        <f t="shared" si="8"/>
        <v>2144.9838842971881</v>
      </c>
      <c r="DM7" s="36">
        <f t="shared" si="8"/>
        <v>2144.9838842971881</v>
      </c>
      <c r="DN7" s="36">
        <f t="shared" si="8"/>
        <v>2144.9838842971881</v>
      </c>
      <c r="DO7" s="36">
        <f t="shared" si="8"/>
        <v>2144.9838842971881</v>
      </c>
      <c r="DP7" s="36">
        <f t="shared" si="8"/>
        <v>2144.9838842971881</v>
      </c>
      <c r="DQ7" s="36">
        <f t="shared" si="8"/>
        <v>2144.9838842971881</v>
      </c>
      <c r="DR7" s="36">
        <f t="shared" si="8"/>
        <v>2144.9838842971881</v>
      </c>
      <c r="DS7" s="36">
        <f t="shared" si="8"/>
        <v>2144.9838842971881</v>
      </c>
      <c r="DT7" s="36">
        <f t="shared" si="8"/>
        <v>2144.9838842971881</v>
      </c>
      <c r="DU7" s="36">
        <f t="shared" si="8"/>
        <v>2144.9838842971881</v>
      </c>
      <c r="DV7" s="37">
        <f>SUM(DJ7:DU7)</f>
        <v>25739.806611566255</v>
      </c>
      <c r="DW7" s="38">
        <v>1</v>
      </c>
      <c r="DX7" s="36">
        <f>$DW7*DJ7*(1+$DX$3)</f>
        <v>2252.2330785120475</v>
      </c>
      <c r="DY7" s="36">
        <f t="shared" ref="DY7:EI7" si="9">$DW7*DK7*(1+$DX$3)</f>
        <v>2252.2330785120475</v>
      </c>
      <c r="DZ7" s="36">
        <f t="shared" si="9"/>
        <v>2252.2330785120475</v>
      </c>
      <c r="EA7" s="36">
        <f t="shared" si="9"/>
        <v>2252.2330785120475</v>
      </c>
      <c r="EB7" s="36">
        <f t="shared" si="9"/>
        <v>2252.2330785120475</v>
      </c>
      <c r="EC7" s="36">
        <f t="shared" si="9"/>
        <v>2252.2330785120475</v>
      </c>
      <c r="ED7" s="36">
        <f t="shared" si="9"/>
        <v>2252.2330785120475</v>
      </c>
      <c r="EE7" s="36">
        <f t="shared" si="9"/>
        <v>2252.2330785120475</v>
      </c>
      <c r="EF7" s="36">
        <f t="shared" si="9"/>
        <v>2252.2330785120475</v>
      </c>
      <c r="EG7" s="36">
        <f t="shared" si="9"/>
        <v>2252.2330785120475</v>
      </c>
      <c r="EH7" s="36">
        <f t="shared" si="9"/>
        <v>2252.2330785120475</v>
      </c>
      <c r="EI7" s="36">
        <f t="shared" si="9"/>
        <v>2252.2330785120475</v>
      </c>
      <c r="EJ7" s="37">
        <f>SUM(DX7:EI7)</f>
        <v>27026.796942144563</v>
      </c>
    </row>
    <row r="8" spans="1:140">
      <c r="A8" s="22" t="s">
        <v>222</v>
      </c>
      <c r="B8" s="22">
        <f>400</f>
        <v>400</v>
      </c>
      <c r="C8" s="22">
        <f>B8</f>
        <v>400</v>
      </c>
      <c r="D8" s="22">
        <f t="shared" ref="D8:M8" si="10">C8</f>
        <v>400</v>
      </c>
      <c r="E8" s="22">
        <f t="shared" si="10"/>
        <v>400</v>
      </c>
      <c r="F8" s="22">
        <f t="shared" si="10"/>
        <v>400</v>
      </c>
      <c r="G8" s="22">
        <f t="shared" si="10"/>
        <v>400</v>
      </c>
      <c r="H8" s="22">
        <f t="shared" si="10"/>
        <v>400</v>
      </c>
      <c r="I8" s="22">
        <f t="shared" si="10"/>
        <v>400</v>
      </c>
      <c r="J8" s="22">
        <f t="shared" si="10"/>
        <v>400</v>
      </c>
      <c r="K8" s="22">
        <f t="shared" si="10"/>
        <v>400</v>
      </c>
      <c r="L8" s="22">
        <f t="shared" si="10"/>
        <v>400</v>
      </c>
      <c r="M8" s="22">
        <f t="shared" si="10"/>
        <v>400</v>
      </c>
      <c r="N8" s="30">
        <f>IF(N7&gt;0,(SUMPRODUCT(B7:M7,B8:M8)/N7),0)</f>
        <v>400</v>
      </c>
      <c r="O8" s="38">
        <v>1</v>
      </c>
      <c r="P8" s="22">
        <f>$O$8*B8*(1+$P$4)</f>
        <v>428</v>
      </c>
      <c r="Q8" s="22">
        <f t="shared" ref="Q8:AA8" si="11">$O$8*C8*(1+$P$4)</f>
        <v>428</v>
      </c>
      <c r="R8" s="22">
        <f t="shared" si="11"/>
        <v>428</v>
      </c>
      <c r="S8" s="22">
        <f t="shared" si="11"/>
        <v>428</v>
      </c>
      <c r="T8" s="22">
        <f t="shared" si="11"/>
        <v>428</v>
      </c>
      <c r="U8" s="22">
        <f t="shared" si="11"/>
        <v>428</v>
      </c>
      <c r="V8" s="22">
        <f t="shared" si="11"/>
        <v>428</v>
      </c>
      <c r="W8" s="22">
        <f t="shared" si="11"/>
        <v>428</v>
      </c>
      <c r="X8" s="22">
        <f t="shared" si="11"/>
        <v>428</v>
      </c>
      <c r="Y8" s="22">
        <f t="shared" si="11"/>
        <v>428</v>
      </c>
      <c r="Z8" s="22">
        <f t="shared" si="11"/>
        <v>428</v>
      </c>
      <c r="AA8" s="22">
        <f t="shared" si="11"/>
        <v>428</v>
      </c>
      <c r="AB8" s="30">
        <f>IF(AB7&gt;0,(SUMPRODUCT(P7:AA7,P8:AA8)/AB7),0)</f>
        <v>428.00000000000011</v>
      </c>
      <c r="AC8" s="38">
        <v>1</v>
      </c>
      <c r="AD8" s="22">
        <f>$AC8*P8*(1+$AD$4)</f>
        <v>453.68</v>
      </c>
      <c r="AE8" s="22">
        <f t="shared" ref="AE8:AO8" si="12">$AC8*Q8*(1+$AD$4)</f>
        <v>453.68</v>
      </c>
      <c r="AF8" s="22">
        <f t="shared" si="12"/>
        <v>453.68</v>
      </c>
      <c r="AG8" s="22">
        <f t="shared" si="12"/>
        <v>453.68</v>
      </c>
      <c r="AH8" s="22">
        <f t="shared" si="12"/>
        <v>453.68</v>
      </c>
      <c r="AI8" s="22">
        <f t="shared" si="12"/>
        <v>453.68</v>
      </c>
      <c r="AJ8" s="22">
        <f t="shared" si="12"/>
        <v>453.68</v>
      </c>
      <c r="AK8" s="22">
        <f t="shared" si="12"/>
        <v>453.68</v>
      </c>
      <c r="AL8" s="22">
        <f t="shared" si="12"/>
        <v>453.68</v>
      </c>
      <c r="AM8" s="22">
        <f t="shared" si="12"/>
        <v>453.68</v>
      </c>
      <c r="AN8" s="22">
        <f t="shared" si="12"/>
        <v>453.68</v>
      </c>
      <c r="AO8" s="22">
        <f t="shared" si="12"/>
        <v>453.68</v>
      </c>
      <c r="AP8" s="30">
        <f>IF(AP7&gt;0,(SUMPRODUCT(AD7:AO7,AD8:AO8)/AP7),0)</f>
        <v>453.68000000000006</v>
      </c>
      <c r="AQ8" s="38">
        <v>1</v>
      </c>
      <c r="AR8" s="22">
        <f>$AQ8*AD8*(1+$AR$4)</f>
        <v>480.9008</v>
      </c>
      <c r="AS8" s="22">
        <f t="shared" ref="AS8:BC8" si="13">$AQ8*AE8*(1+$AR$4)</f>
        <v>480.9008</v>
      </c>
      <c r="AT8" s="22">
        <f t="shared" si="13"/>
        <v>480.9008</v>
      </c>
      <c r="AU8" s="22">
        <f t="shared" si="13"/>
        <v>480.9008</v>
      </c>
      <c r="AV8" s="22">
        <f t="shared" si="13"/>
        <v>480.9008</v>
      </c>
      <c r="AW8" s="22">
        <f t="shared" si="13"/>
        <v>480.9008</v>
      </c>
      <c r="AX8" s="22">
        <f t="shared" si="13"/>
        <v>480.9008</v>
      </c>
      <c r="AY8" s="22">
        <f t="shared" si="13"/>
        <v>480.9008</v>
      </c>
      <c r="AZ8" s="22">
        <f t="shared" si="13"/>
        <v>480.9008</v>
      </c>
      <c r="BA8" s="22">
        <f t="shared" si="13"/>
        <v>480.9008</v>
      </c>
      <c r="BB8" s="22">
        <f t="shared" si="13"/>
        <v>480.9008</v>
      </c>
      <c r="BC8" s="22">
        <f t="shared" si="13"/>
        <v>480.9008</v>
      </c>
      <c r="BD8" s="30">
        <f>IF(BD7&gt;0,(SUMPRODUCT(AR7:BC7,AR8:BC8)/BD7),0)</f>
        <v>480.90079999999983</v>
      </c>
      <c r="BE8" s="38">
        <v>1</v>
      </c>
      <c r="BF8" s="22">
        <f>$BE8*AR8*(1+$BF$4)</f>
        <v>509.75484800000004</v>
      </c>
      <c r="BG8" s="22">
        <f t="shared" ref="BG8:BQ8" si="14">$BE8*AS8*(1+$BF$4)</f>
        <v>509.75484800000004</v>
      </c>
      <c r="BH8" s="22">
        <f t="shared" si="14"/>
        <v>509.75484800000004</v>
      </c>
      <c r="BI8" s="22">
        <f t="shared" si="14"/>
        <v>509.75484800000004</v>
      </c>
      <c r="BJ8" s="22">
        <f t="shared" si="14"/>
        <v>509.75484800000004</v>
      </c>
      <c r="BK8" s="22">
        <f t="shared" si="14"/>
        <v>509.75484800000004</v>
      </c>
      <c r="BL8" s="22">
        <f t="shared" si="14"/>
        <v>509.75484800000004</v>
      </c>
      <c r="BM8" s="22">
        <f t="shared" si="14"/>
        <v>509.75484800000004</v>
      </c>
      <c r="BN8" s="22">
        <f t="shared" si="14"/>
        <v>509.75484800000004</v>
      </c>
      <c r="BO8" s="22">
        <f t="shared" si="14"/>
        <v>509.75484800000004</v>
      </c>
      <c r="BP8" s="22">
        <f t="shared" si="14"/>
        <v>509.75484800000004</v>
      </c>
      <c r="BQ8" s="22">
        <f t="shared" si="14"/>
        <v>509.75484800000004</v>
      </c>
      <c r="BR8" s="30">
        <f>IF(BR7&gt;0,(SUMPRODUCT(BF7:BQ7,BF8:BQ8)/BR7),0)</f>
        <v>509.75484800000021</v>
      </c>
      <c r="BS8" s="38">
        <v>1</v>
      </c>
      <c r="BT8" s="22">
        <f>$BS8*BF8*(1+$BT$4)</f>
        <v>540.34013888000004</v>
      </c>
      <c r="BU8" s="22">
        <f t="shared" ref="BU8:CE8" si="15">$BS8*BG8*(1+$BT$4)</f>
        <v>540.34013888000004</v>
      </c>
      <c r="BV8" s="22">
        <f t="shared" si="15"/>
        <v>540.34013888000004</v>
      </c>
      <c r="BW8" s="22">
        <f t="shared" si="15"/>
        <v>540.34013888000004</v>
      </c>
      <c r="BX8" s="22">
        <f t="shared" si="15"/>
        <v>540.34013888000004</v>
      </c>
      <c r="BY8" s="22">
        <f t="shared" si="15"/>
        <v>540.34013888000004</v>
      </c>
      <c r="BZ8" s="22">
        <f t="shared" si="15"/>
        <v>540.34013888000004</v>
      </c>
      <c r="CA8" s="22">
        <f t="shared" si="15"/>
        <v>540.34013888000004</v>
      </c>
      <c r="CB8" s="22">
        <f t="shared" si="15"/>
        <v>540.34013888000004</v>
      </c>
      <c r="CC8" s="22">
        <f t="shared" si="15"/>
        <v>540.34013888000004</v>
      </c>
      <c r="CD8" s="22">
        <f t="shared" si="15"/>
        <v>540.34013888000004</v>
      </c>
      <c r="CE8" s="22">
        <f t="shared" si="15"/>
        <v>540.34013888000004</v>
      </c>
      <c r="CF8" s="30">
        <f>IF(CF7&gt;0,(SUMPRODUCT(BT7:CE7,BT8:CE8)/CF7),0)</f>
        <v>540.34013888000015</v>
      </c>
      <c r="CG8" s="38">
        <v>1</v>
      </c>
      <c r="CH8" s="22">
        <f>$CG8*BT8*(1+$CH$4)</f>
        <v>572.76054721280002</v>
      </c>
      <c r="CI8" s="22">
        <f t="shared" ref="CI8:CS8" si="16">$CG8*BU8*(1+$CH$4)</f>
        <v>572.76054721280002</v>
      </c>
      <c r="CJ8" s="22">
        <f t="shared" si="16"/>
        <v>572.76054721280002</v>
      </c>
      <c r="CK8" s="22">
        <f t="shared" si="16"/>
        <v>572.76054721280002</v>
      </c>
      <c r="CL8" s="22">
        <f t="shared" si="16"/>
        <v>572.76054721280002</v>
      </c>
      <c r="CM8" s="22">
        <f t="shared" si="16"/>
        <v>572.76054721280002</v>
      </c>
      <c r="CN8" s="22">
        <f t="shared" si="16"/>
        <v>572.76054721280002</v>
      </c>
      <c r="CO8" s="22">
        <f t="shared" si="16"/>
        <v>572.76054721280002</v>
      </c>
      <c r="CP8" s="22">
        <f t="shared" si="16"/>
        <v>572.76054721280002</v>
      </c>
      <c r="CQ8" s="22">
        <f t="shared" si="16"/>
        <v>572.76054721280002</v>
      </c>
      <c r="CR8" s="22">
        <f t="shared" si="16"/>
        <v>572.76054721280002</v>
      </c>
      <c r="CS8" s="22">
        <f t="shared" si="16"/>
        <v>572.76054721280002</v>
      </c>
      <c r="CT8" s="30">
        <f>IF(CT7&gt;0,(SUMPRODUCT(CH7:CS7,CH8:CS8)/CT7),0)</f>
        <v>572.76054721280002</v>
      </c>
      <c r="CU8" s="38">
        <v>1</v>
      </c>
      <c r="CV8" s="22">
        <f>$CU8*CH8*(1+$CV$4)</f>
        <v>607.12618004556805</v>
      </c>
      <c r="CW8" s="22">
        <f t="shared" ref="CW8:DG8" si="17">$CU8*CI8*(1+$CV$4)</f>
        <v>607.12618004556805</v>
      </c>
      <c r="CX8" s="22">
        <f t="shared" si="17"/>
        <v>607.12618004556805</v>
      </c>
      <c r="CY8" s="22">
        <f t="shared" si="17"/>
        <v>607.12618004556805</v>
      </c>
      <c r="CZ8" s="22">
        <f t="shared" si="17"/>
        <v>607.12618004556805</v>
      </c>
      <c r="DA8" s="22">
        <f t="shared" si="17"/>
        <v>607.12618004556805</v>
      </c>
      <c r="DB8" s="22">
        <f t="shared" si="17"/>
        <v>607.12618004556805</v>
      </c>
      <c r="DC8" s="22">
        <f t="shared" si="17"/>
        <v>607.12618004556805</v>
      </c>
      <c r="DD8" s="22">
        <f t="shared" si="17"/>
        <v>607.12618004556805</v>
      </c>
      <c r="DE8" s="22">
        <f t="shared" si="17"/>
        <v>607.12618004556805</v>
      </c>
      <c r="DF8" s="22">
        <f t="shared" si="17"/>
        <v>607.12618004556805</v>
      </c>
      <c r="DG8" s="22">
        <f t="shared" si="17"/>
        <v>607.12618004556805</v>
      </c>
      <c r="DH8" s="30">
        <f>IF(DH7&gt;0,(SUMPRODUCT(CV7:DG7,CV8:DG8)/DH7),0)</f>
        <v>607.12618004556816</v>
      </c>
      <c r="DI8" s="38">
        <v>1</v>
      </c>
      <c r="DJ8" s="22">
        <f>$DI8*CV8*(1+$DJ$4)</f>
        <v>643.55375084830212</v>
      </c>
      <c r="DK8" s="22">
        <f t="shared" ref="DK8:DU8" si="18">$DI8*CW8*(1+$DJ$4)</f>
        <v>643.55375084830212</v>
      </c>
      <c r="DL8" s="22">
        <f t="shared" si="18"/>
        <v>643.55375084830212</v>
      </c>
      <c r="DM8" s="22">
        <f t="shared" si="18"/>
        <v>643.55375084830212</v>
      </c>
      <c r="DN8" s="22">
        <f t="shared" si="18"/>
        <v>643.55375084830212</v>
      </c>
      <c r="DO8" s="22">
        <f t="shared" si="18"/>
        <v>643.55375084830212</v>
      </c>
      <c r="DP8" s="22">
        <f t="shared" si="18"/>
        <v>643.55375084830212</v>
      </c>
      <c r="DQ8" s="22">
        <f t="shared" si="18"/>
        <v>643.55375084830212</v>
      </c>
      <c r="DR8" s="22">
        <f t="shared" si="18"/>
        <v>643.55375084830212</v>
      </c>
      <c r="DS8" s="22">
        <f t="shared" si="18"/>
        <v>643.55375084830212</v>
      </c>
      <c r="DT8" s="22">
        <f t="shared" si="18"/>
        <v>643.55375084830212</v>
      </c>
      <c r="DU8" s="22">
        <f t="shared" si="18"/>
        <v>643.55375084830212</v>
      </c>
      <c r="DV8" s="30">
        <f>IF(DV7&gt;0,(SUMPRODUCT(DJ7:DU7,DJ8:DU8)/DV7),0)</f>
        <v>643.55375084830212</v>
      </c>
      <c r="DW8" s="38">
        <v>1</v>
      </c>
      <c r="DX8" s="22">
        <f>$DW8*DJ8*(1+$DX$4)</f>
        <v>682.16697589920022</v>
      </c>
      <c r="DY8" s="22">
        <f t="shared" ref="DY8:EI8" si="19">$DW8*DK8*(1+$DX$4)</f>
        <v>682.16697589920022</v>
      </c>
      <c r="DZ8" s="22">
        <f t="shared" si="19"/>
        <v>682.16697589920022</v>
      </c>
      <c r="EA8" s="22">
        <f t="shared" si="19"/>
        <v>682.16697589920022</v>
      </c>
      <c r="EB8" s="22">
        <f t="shared" si="19"/>
        <v>682.16697589920022</v>
      </c>
      <c r="EC8" s="22">
        <f t="shared" si="19"/>
        <v>682.16697589920022</v>
      </c>
      <c r="ED8" s="22">
        <f t="shared" si="19"/>
        <v>682.16697589920022</v>
      </c>
      <c r="EE8" s="22">
        <f t="shared" si="19"/>
        <v>682.16697589920022</v>
      </c>
      <c r="EF8" s="22">
        <f t="shared" si="19"/>
        <v>682.16697589920022</v>
      </c>
      <c r="EG8" s="22">
        <f t="shared" si="19"/>
        <v>682.16697589920022</v>
      </c>
      <c r="EH8" s="22">
        <f t="shared" si="19"/>
        <v>682.16697589920022</v>
      </c>
      <c r="EI8" s="22">
        <f t="shared" si="19"/>
        <v>682.16697589920022</v>
      </c>
      <c r="EJ8" s="30">
        <f>IF(EJ7&gt;0,(SUMPRODUCT(DX7:EI7,DX8:EI8)/EJ7),0)</f>
        <v>682.16697589920045</v>
      </c>
    </row>
    <row r="9" spans="1:140">
      <c r="A9" s="22" t="s">
        <v>223</v>
      </c>
      <c r="B9" s="30">
        <f>B7*B8</f>
        <v>592000</v>
      </c>
      <c r="C9" s="30">
        <f t="shared" ref="C9:M9" si="20">C7*C8</f>
        <v>592000</v>
      </c>
      <c r="D9" s="30">
        <f t="shared" si="20"/>
        <v>592000</v>
      </c>
      <c r="E9" s="30">
        <f t="shared" si="20"/>
        <v>592000</v>
      </c>
      <c r="F9" s="30">
        <f t="shared" si="20"/>
        <v>592000</v>
      </c>
      <c r="G9" s="30">
        <f t="shared" si="20"/>
        <v>592000</v>
      </c>
      <c r="H9" s="30">
        <f t="shared" si="20"/>
        <v>592000</v>
      </c>
      <c r="I9" s="30">
        <f t="shared" si="20"/>
        <v>592000</v>
      </c>
      <c r="J9" s="30">
        <f t="shared" si="20"/>
        <v>592000</v>
      </c>
      <c r="K9" s="30">
        <f t="shared" si="20"/>
        <v>592000</v>
      </c>
      <c r="L9" s="30">
        <f t="shared" si="20"/>
        <v>592000</v>
      </c>
      <c r="M9" s="30">
        <f t="shared" si="20"/>
        <v>592000</v>
      </c>
      <c r="N9" s="30">
        <f t="shared" ref="N9" si="21">N7*N8</f>
        <v>7104000</v>
      </c>
      <c r="O9" s="38"/>
      <c r="P9" s="30">
        <f>P7*P8</f>
        <v>652443.20000000007</v>
      </c>
      <c r="Q9" s="30">
        <f t="shared" ref="Q9:AB9" si="22">Q7*Q8</f>
        <v>652443.20000000007</v>
      </c>
      <c r="R9" s="30">
        <f t="shared" si="22"/>
        <v>652443.20000000007</v>
      </c>
      <c r="S9" s="30">
        <f t="shared" si="22"/>
        <v>652443.20000000007</v>
      </c>
      <c r="T9" s="30">
        <f t="shared" si="22"/>
        <v>652443.20000000007</v>
      </c>
      <c r="U9" s="30">
        <f t="shared" si="22"/>
        <v>652443.20000000007</v>
      </c>
      <c r="V9" s="30">
        <f t="shared" si="22"/>
        <v>652443.20000000007</v>
      </c>
      <c r="W9" s="30">
        <f t="shared" si="22"/>
        <v>652443.20000000007</v>
      </c>
      <c r="X9" s="30">
        <f t="shared" si="22"/>
        <v>652443.20000000007</v>
      </c>
      <c r="Y9" s="30">
        <f t="shared" si="22"/>
        <v>652443.20000000007</v>
      </c>
      <c r="Z9" s="30">
        <f t="shared" si="22"/>
        <v>652443.20000000007</v>
      </c>
      <c r="AA9" s="30">
        <f t="shared" si="22"/>
        <v>652443.20000000007</v>
      </c>
      <c r="AB9" s="30">
        <f t="shared" si="22"/>
        <v>7829318.4000000013</v>
      </c>
      <c r="AC9" s="38"/>
      <c r="AD9" s="30">
        <f>AD7*AD8</f>
        <v>726169.2816000001</v>
      </c>
      <c r="AE9" s="30">
        <f t="shared" ref="AE9:AP9" si="23">AE7*AE8</f>
        <v>726169.2816000001</v>
      </c>
      <c r="AF9" s="30">
        <f t="shared" si="23"/>
        <v>726169.2816000001</v>
      </c>
      <c r="AG9" s="30">
        <f t="shared" si="23"/>
        <v>726169.2816000001</v>
      </c>
      <c r="AH9" s="30">
        <f t="shared" si="23"/>
        <v>726169.2816000001</v>
      </c>
      <c r="AI9" s="30">
        <f t="shared" si="23"/>
        <v>726169.2816000001</v>
      </c>
      <c r="AJ9" s="30">
        <f t="shared" si="23"/>
        <v>726169.2816000001</v>
      </c>
      <c r="AK9" s="30">
        <f t="shared" si="23"/>
        <v>726169.2816000001</v>
      </c>
      <c r="AL9" s="30">
        <f t="shared" si="23"/>
        <v>726169.2816000001</v>
      </c>
      <c r="AM9" s="30">
        <f t="shared" si="23"/>
        <v>726169.2816000001</v>
      </c>
      <c r="AN9" s="30">
        <f t="shared" si="23"/>
        <v>726169.2816000001</v>
      </c>
      <c r="AO9" s="30">
        <f t="shared" si="23"/>
        <v>726169.2816000001</v>
      </c>
      <c r="AP9" s="30">
        <f t="shared" si="23"/>
        <v>8714031.3792000022</v>
      </c>
      <c r="AQ9" s="38"/>
      <c r="AR9" s="30">
        <f>AR7*AR8</f>
        <v>808226.41042080009</v>
      </c>
      <c r="AS9" s="30">
        <f t="shared" ref="AS9:BD9" si="24">AS7*AS8</f>
        <v>808226.41042080009</v>
      </c>
      <c r="AT9" s="30">
        <f t="shared" si="24"/>
        <v>808226.41042080009</v>
      </c>
      <c r="AU9" s="30">
        <f t="shared" si="24"/>
        <v>808226.41042080009</v>
      </c>
      <c r="AV9" s="30">
        <f t="shared" si="24"/>
        <v>808226.41042080009</v>
      </c>
      <c r="AW9" s="30">
        <f t="shared" si="24"/>
        <v>808226.41042080009</v>
      </c>
      <c r="AX9" s="30">
        <f t="shared" si="24"/>
        <v>808226.41042080009</v>
      </c>
      <c r="AY9" s="30">
        <f t="shared" si="24"/>
        <v>808226.41042080009</v>
      </c>
      <c r="AZ9" s="30">
        <f t="shared" si="24"/>
        <v>808226.41042080009</v>
      </c>
      <c r="BA9" s="30">
        <f t="shared" si="24"/>
        <v>808226.41042080009</v>
      </c>
      <c r="BB9" s="30">
        <f t="shared" si="24"/>
        <v>808226.41042080009</v>
      </c>
      <c r="BC9" s="30">
        <f t="shared" si="24"/>
        <v>808226.41042080009</v>
      </c>
      <c r="BD9" s="30">
        <f t="shared" si="24"/>
        <v>9698716.9250495993</v>
      </c>
      <c r="BE9" s="38"/>
      <c r="BF9" s="30">
        <f>BF7*BF8</f>
        <v>899555.99479835073</v>
      </c>
      <c r="BG9" s="30">
        <f t="shared" ref="BG9:BR9" si="25">BG7*BG8</f>
        <v>899555.99479835073</v>
      </c>
      <c r="BH9" s="30">
        <f t="shared" si="25"/>
        <v>899555.99479835073</v>
      </c>
      <c r="BI9" s="30">
        <f t="shared" si="25"/>
        <v>899555.99479835073</v>
      </c>
      <c r="BJ9" s="30">
        <f t="shared" si="25"/>
        <v>899555.99479835073</v>
      </c>
      <c r="BK9" s="30">
        <f t="shared" si="25"/>
        <v>899555.99479835073</v>
      </c>
      <c r="BL9" s="30">
        <f t="shared" si="25"/>
        <v>899555.99479835073</v>
      </c>
      <c r="BM9" s="30">
        <f t="shared" si="25"/>
        <v>899555.99479835073</v>
      </c>
      <c r="BN9" s="30">
        <f t="shared" si="25"/>
        <v>899555.99479835073</v>
      </c>
      <c r="BO9" s="30">
        <f t="shared" si="25"/>
        <v>899555.99479835073</v>
      </c>
      <c r="BP9" s="30">
        <f t="shared" si="25"/>
        <v>899555.99479835073</v>
      </c>
      <c r="BQ9" s="30">
        <f t="shared" si="25"/>
        <v>899555.99479835073</v>
      </c>
      <c r="BR9" s="30">
        <f t="shared" si="25"/>
        <v>10794671.937580211</v>
      </c>
      <c r="BS9" s="38"/>
      <c r="BT9" s="30">
        <f>BT7*BT8</f>
        <v>1001205.8222105643</v>
      </c>
      <c r="BU9" s="30">
        <f t="shared" ref="BU9:CF9" si="26">BU7*BU8</f>
        <v>1001205.8222105643</v>
      </c>
      <c r="BV9" s="30">
        <f t="shared" si="26"/>
        <v>1001205.8222105643</v>
      </c>
      <c r="BW9" s="30">
        <f t="shared" si="26"/>
        <v>1001205.8222105643</v>
      </c>
      <c r="BX9" s="30">
        <f t="shared" si="26"/>
        <v>1001205.8222105643</v>
      </c>
      <c r="BY9" s="30">
        <f t="shared" si="26"/>
        <v>1001205.8222105643</v>
      </c>
      <c r="BZ9" s="30">
        <f t="shared" si="26"/>
        <v>1001205.8222105643</v>
      </c>
      <c r="CA9" s="30">
        <f t="shared" si="26"/>
        <v>1001205.8222105643</v>
      </c>
      <c r="CB9" s="30">
        <f t="shared" si="26"/>
        <v>1001205.8222105643</v>
      </c>
      <c r="CC9" s="30">
        <f t="shared" si="26"/>
        <v>1001205.8222105643</v>
      </c>
      <c r="CD9" s="30">
        <f t="shared" si="26"/>
        <v>1001205.8222105643</v>
      </c>
      <c r="CE9" s="30">
        <f t="shared" si="26"/>
        <v>1001205.8222105643</v>
      </c>
      <c r="CF9" s="30">
        <f t="shared" si="26"/>
        <v>12014469.866526775</v>
      </c>
      <c r="CG9" s="38"/>
      <c r="CH9" s="30">
        <f>CH7*CH8</f>
        <v>1114342.0801203582</v>
      </c>
      <c r="CI9" s="30">
        <f t="shared" ref="CI9:CT9" si="27">CI7*CI8</f>
        <v>1114342.0801203582</v>
      </c>
      <c r="CJ9" s="30">
        <f t="shared" si="27"/>
        <v>1114342.0801203582</v>
      </c>
      <c r="CK9" s="30">
        <f t="shared" si="27"/>
        <v>1114342.0801203582</v>
      </c>
      <c r="CL9" s="30">
        <f t="shared" si="27"/>
        <v>1114342.0801203582</v>
      </c>
      <c r="CM9" s="30">
        <f t="shared" si="27"/>
        <v>1114342.0801203582</v>
      </c>
      <c r="CN9" s="30">
        <f t="shared" si="27"/>
        <v>1114342.0801203582</v>
      </c>
      <c r="CO9" s="30">
        <f t="shared" si="27"/>
        <v>1114342.0801203582</v>
      </c>
      <c r="CP9" s="30">
        <f t="shared" si="27"/>
        <v>1114342.0801203582</v>
      </c>
      <c r="CQ9" s="30">
        <f t="shared" si="27"/>
        <v>1114342.0801203582</v>
      </c>
      <c r="CR9" s="30">
        <f t="shared" si="27"/>
        <v>1114342.0801203582</v>
      </c>
      <c r="CS9" s="30">
        <f t="shared" si="27"/>
        <v>1114342.0801203582</v>
      </c>
      <c r="CT9" s="30">
        <f t="shared" si="27"/>
        <v>13372104.961444302</v>
      </c>
      <c r="CU9" s="38"/>
      <c r="CV9" s="30">
        <f>CV7*CV8</f>
        <v>1240262.7351739586</v>
      </c>
      <c r="CW9" s="30">
        <f t="shared" ref="CW9:DH9" si="28">CW7*CW8</f>
        <v>1240262.7351739586</v>
      </c>
      <c r="CX9" s="30">
        <f t="shared" si="28"/>
        <v>1240262.7351739586</v>
      </c>
      <c r="CY9" s="30">
        <f t="shared" si="28"/>
        <v>1240262.7351739586</v>
      </c>
      <c r="CZ9" s="30">
        <f t="shared" si="28"/>
        <v>1240262.7351739586</v>
      </c>
      <c r="DA9" s="30">
        <f t="shared" si="28"/>
        <v>1240262.7351739586</v>
      </c>
      <c r="DB9" s="30">
        <f t="shared" si="28"/>
        <v>1240262.7351739586</v>
      </c>
      <c r="DC9" s="30">
        <f t="shared" si="28"/>
        <v>1240262.7351739586</v>
      </c>
      <c r="DD9" s="30">
        <f t="shared" si="28"/>
        <v>1240262.7351739586</v>
      </c>
      <c r="DE9" s="30">
        <f t="shared" si="28"/>
        <v>1240262.7351739586</v>
      </c>
      <c r="DF9" s="30">
        <f t="shared" si="28"/>
        <v>1240262.7351739586</v>
      </c>
      <c r="DG9" s="30">
        <f t="shared" si="28"/>
        <v>1240262.7351739586</v>
      </c>
      <c r="DH9" s="30">
        <f t="shared" si="28"/>
        <v>14883152.822087506</v>
      </c>
      <c r="DI9" s="38"/>
      <c r="DJ9" s="30">
        <f>DJ7*DJ8</f>
        <v>1380412.424248616</v>
      </c>
      <c r="DK9" s="30">
        <f t="shared" ref="DK9:DV9" si="29">DK7*DK8</f>
        <v>1380412.424248616</v>
      </c>
      <c r="DL9" s="30">
        <f t="shared" si="29"/>
        <v>1380412.424248616</v>
      </c>
      <c r="DM9" s="30">
        <f t="shared" si="29"/>
        <v>1380412.424248616</v>
      </c>
      <c r="DN9" s="30">
        <f t="shared" si="29"/>
        <v>1380412.424248616</v>
      </c>
      <c r="DO9" s="30">
        <f t="shared" si="29"/>
        <v>1380412.424248616</v>
      </c>
      <c r="DP9" s="30">
        <f t="shared" si="29"/>
        <v>1380412.424248616</v>
      </c>
      <c r="DQ9" s="30">
        <f t="shared" si="29"/>
        <v>1380412.424248616</v>
      </c>
      <c r="DR9" s="30">
        <f t="shared" si="29"/>
        <v>1380412.424248616</v>
      </c>
      <c r="DS9" s="30">
        <f t="shared" si="29"/>
        <v>1380412.424248616</v>
      </c>
      <c r="DT9" s="30">
        <f t="shared" si="29"/>
        <v>1380412.424248616</v>
      </c>
      <c r="DU9" s="30">
        <f t="shared" si="29"/>
        <v>1380412.424248616</v>
      </c>
      <c r="DV9" s="30">
        <f t="shared" si="29"/>
        <v>16564949.090983389</v>
      </c>
      <c r="DW9" s="38"/>
      <c r="DX9" s="30">
        <f>DX7*DX8</f>
        <v>1536399.0281887094</v>
      </c>
      <c r="DY9" s="30">
        <f t="shared" ref="DY9:EJ9" si="30">DY7*DY8</f>
        <v>1536399.0281887094</v>
      </c>
      <c r="DZ9" s="30">
        <f t="shared" si="30"/>
        <v>1536399.0281887094</v>
      </c>
      <c r="EA9" s="30">
        <f t="shared" si="30"/>
        <v>1536399.0281887094</v>
      </c>
      <c r="EB9" s="30">
        <f t="shared" si="30"/>
        <v>1536399.0281887094</v>
      </c>
      <c r="EC9" s="30">
        <f t="shared" si="30"/>
        <v>1536399.0281887094</v>
      </c>
      <c r="ED9" s="30">
        <f t="shared" si="30"/>
        <v>1536399.0281887094</v>
      </c>
      <c r="EE9" s="30">
        <f t="shared" si="30"/>
        <v>1536399.0281887094</v>
      </c>
      <c r="EF9" s="30">
        <f t="shared" si="30"/>
        <v>1536399.0281887094</v>
      </c>
      <c r="EG9" s="30">
        <f t="shared" si="30"/>
        <v>1536399.0281887094</v>
      </c>
      <c r="EH9" s="30">
        <f t="shared" si="30"/>
        <v>1536399.0281887094</v>
      </c>
      <c r="EI9" s="30">
        <f t="shared" si="30"/>
        <v>1536399.0281887094</v>
      </c>
      <c r="EJ9" s="30">
        <f t="shared" si="30"/>
        <v>18436788.338264514</v>
      </c>
    </row>
    <row r="10" spans="1:140">
      <c r="A10" s="22" t="s">
        <v>224</v>
      </c>
      <c r="N10" s="30">
        <f>SUM(B10:M10)</f>
        <v>0</v>
      </c>
      <c r="O10" s="38"/>
      <c r="AB10" s="30">
        <f>SUM(P10:AA10)</f>
        <v>0</v>
      </c>
      <c r="AC10" s="38"/>
      <c r="AP10" s="30">
        <f>SUM(AD10:AO10)</f>
        <v>0</v>
      </c>
      <c r="AQ10" s="38"/>
      <c r="BD10" s="30">
        <f>SUM(AR10:BC10)</f>
        <v>0</v>
      </c>
      <c r="BE10" s="38"/>
      <c r="BR10" s="30">
        <f>SUM(BF10:BQ10)</f>
        <v>0</v>
      </c>
      <c r="BS10" s="38"/>
      <c r="CF10" s="30">
        <f>SUM(BT10:CE10)</f>
        <v>0</v>
      </c>
      <c r="CG10" s="38"/>
      <c r="CT10" s="30">
        <f>SUM(CH10:CS10)</f>
        <v>0</v>
      </c>
      <c r="CU10" s="38"/>
      <c r="DH10" s="30">
        <f>SUM(CV10:DG10)</f>
        <v>0</v>
      </c>
      <c r="DI10" s="38"/>
      <c r="DV10" s="30">
        <f>SUM(DJ10:DU10)</f>
        <v>0</v>
      </c>
      <c r="DW10" s="38"/>
      <c r="EJ10" s="30">
        <f>SUM(DX10:EI10)</f>
        <v>0</v>
      </c>
    </row>
    <row r="11" spans="1:140">
      <c r="A11" s="31" t="s">
        <v>225</v>
      </c>
      <c r="B11" s="30">
        <f>B9+B10</f>
        <v>592000</v>
      </c>
      <c r="C11" s="30">
        <f t="shared" ref="C11:M11" si="31">C9+C10</f>
        <v>592000</v>
      </c>
      <c r="D11" s="30">
        <f t="shared" si="31"/>
        <v>592000</v>
      </c>
      <c r="E11" s="30">
        <f t="shared" si="31"/>
        <v>592000</v>
      </c>
      <c r="F11" s="30">
        <f t="shared" si="31"/>
        <v>592000</v>
      </c>
      <c r="G11" s="30">
        <f t="shared" si="31"/>
        <v>592000</v>
      </c>
      <c r="H11" s="30">
        <f t="shared" si="31"/>
        <v>592000</v>
      </c>
      <c r="I11" s="30">
        <f t="shared" si="31"/>
        <v>592000</v>
      </c>
      <c r="J11" s="30">
        <f t="shared" si="31"/>
        <v>592000</v>
      </c>
      <c r="K11" s="30">
        <f t="shared" si="31"/>
        <v>592000</v>
      </c>
      <c r="L11" s="30">
        <f t="shared" si="31"/>
        <v>592000</v>
      </c>
      <c r="M11" s="30">
        <f t="shared" si="31"/>
        <v>592000</v>
      </c>
      <c r="N11" s="30">
        <f t="shared" ref="N11" si="32">N9+N10</f>
        <v>7104000</v>
      </c>
      <c r="O11" s="38"/>
      <c r="P11" s="30">
        <f>P9+P10</f>
        <v>652443.20000000007</v>
      </c>
      <c r="Q11" s="30">
        <f t="shared" ref="Q11:AB11" si="33">Q9+Q10</f>
        <v>652443.20000000007</v>
      </c>
      <c r="R11" s="30">
        <f t="shared" si="33"/>
        <v>652443.20000000007</v>
      </c>
      <c r="S11" s="30">
        <f t="shared" si="33"/>
        <v>652443.20000000007</v>
      </c>
      <c r="T11" s="30">
        <f t="shared" si="33"/>
        <v>652443.20000000007</v>
      </c>
      <c r="U11" s="30">
        <f t="shared" si="33"/>
        <v>652443.20000000007</v>
      </c>
      <c r="V11" s="30">
        <f t="shared" si="33"/>
        <v>652443.20000000007</v>
      </c>
      <c r="W11" s="30">
        <f t="shared" si="33"/>
        <v>652443.20000000007</v>
      </c>
      <c r="X11" s="30">
        <f t="shared" si="33"/>
        <v>652443.20000000007</v>
      </c>
      <c r="Y11" s="30">
        <f t="shared" si="33"/>
        <v>652443.20000000007</v>
      </c>
      <c r="Z11" s="30">
        <f t="shared" si="33"/>
        <v>652443.20000000007</v>
      </c>
      <c r="AA11" s="30">
        <f t="shared" si="33"/>
        <v>652443.20000000007</v>
      </c>
      <c r="AB11" s="30">
        <f t="shared" si="33"/>
        <v>7829318.4000000013</v>
      </c>
      <c r="AC11" s="38"/>
      <c r="AD11" s="30">
        <f>AD9+AD10</f>
        <v>726169.2816000001</v>
      </c>
      <c r="AE11" s="30">
        <f t="shared" ref="AE11:AP11" si="34">AE9+AE10</f>
        <v>726169.2816000001</v>
      </c>
      <c r="AF11" s="30">
        <f t="shared" si="34"/>
        <v>726169.2816000001</v>
      </c>
      <c r="AG11" s="30">
        <f t="shared" si="34"/>
        <v>726169.2816000001</v>
      </c>
      <c r="AH11" s="30">
        <f t="shared" si="34"/>
        <v>726169.2816000001</v>
      </c>
      <c r="AI11" s="30">
        <f t="shared" si="34"/>
        <v>726169.2816000001</v>
      </c>
      <c r="AJ11" s="30">
        <f t="shared" si="34"/>
        <v>726169.2816000001</v>
      </c>
      <c r="AK11" s="30">
        <f t="shared" si="34"/>
        <v>726169.2816000001</v>
      </c>
      <c r="AL11" s="30">
        <f t="shared" si="34"/>
        <v>726169.2816000001</v>
      </c>
      <c r="AM11" s="30">
        <f t="shared" si="34"/>
        <v>726169.2816000001</v>
      </c>
      <c r="AN11" s="30">
        <f t="shared" si="34"/>
        <v>726169.2816000001</v>
      </c>
      <c r="AO11" s="30">
        <f t="shared" si="34"/>
        <v>726169.2816000001</v>
      </c>
      <c r="AP11" s="30">
        <f t="shared" si="34"/>
        <v>8714031.3792000022</v>
      </c>
      <c r="AQ11" s="38"/>
      <c r="AR11" s="30">
        <f>AR9+AR10</f>
        <v>808226.41042080009</v>
      </c>
      <c r="AS11" s="30">
        <f t="shared" ref="AS11:BD11" si="35">AS9+AS10</f>
        <v>808226.41042080009</v>
      </c>
      <c r="AT11" s="30">
        <f t="shared" si="35"/>
        <v>808226.41042080009</v>
      </c>
      <c r="AU11" s="30">
        <f t="shared" si="35"/>
        <v>808226.41042080009</v>
      </c>
      <c r="AV11" s="30">
        <f t="shared" si="35"/>
        <v>808226.41042080009</v>
      </c>
      <c r="AW11" s="30">
        <f t="shared" si="35"/>
        <v>808226.41042080009</v>
      </c>
      <c r="AX11" s="30">
        <f t="shared" si="35"/>
        <v>808226.41042080009</v>
      </c>
      <c r="AY11" s="30">
        <f t="shared" si="35"/>
        <v>808226.41042080009</v>
      </c>
      <c r="AZ11" s="30">
        <f t="shared" si="35"/>
        <v>808226.41042080009</v>
      </c>
      <c r="BA11" s="30">
        <f t="shared" si="35"/>
        <v>808226.41042080009</v>
      </c>
      <c r="BB11" s="30">
        <f t="shared" si="35"/>
        <v>808226.41042080009</v>
      </c>
      <c r="BC11" s="30">
        <f t="shared" si="35"/>
        <v>808226.41042080009</v>
      </c>
      <c r="BD11" s="30">
        <f t="shared" si="35"/>
        <v>9698716.9250495993</v>
      </c>
      <c r="BE11" s="38"/>
      <c r="BF11" s="30">
        <f>BF9+BF10</f>
        <v>899555.99479835073</v>
      </c>
      <c r="BG11" s="30">
        <f t="shared" ref="BG11:BR11" si="36">BG9+BG10</f>
        <v>899555.99479835073</v>
      </c>
      <c r="BH11" s="30">
        <f t="shared" si="36"/>
        <v>899555.99479835073</v>
      </c>
      <c r="BI11" s="30">
        <f t="shared" si="36"/>
        <v>899555.99479835073</v>
      </c>
      <c r="BJ11" s="30">
        <f t="shared" si="36"/>
        <v>899555.99479835073</v>
      </c>
      <c r="BK11" s="30">
        <f t="shared" si="36"/>
        <v>899555.99479835073</v>
      </c>
      <c r="BL11" s="30">
        <f t="shared" si="36"/>
        <v>899555.99479835073</v>
      </c>
      <c r="BM11" s="30">
        <f t="shared" si="36"/>
        <v>899555.99479835073</v>
      </c>
      <c r="BN11" s="30">
        <f t="shared" si="36"/>
        <v>899555.99479835073</v>
      </c>
      <c r="BO11" s="30">
        <f t="shared" si="36"/>
        <v>899555.99479835073</v>
      </c>
      <c r="BP11" s="30">
        <f t="shared" si="36"/>
        <v>899555.99479835073</v>
      </c>
      <c r="BQ11" s="30">
        <f t="shared" si="36"/>
        <v>899555.99479835073</v>
      </c>
      <c r="BR11" s="30">
        <f t="shared" si="36"/>
        <v>10794671.937580211</v>
      </c>
      <c r="BS11" s="38"/>
      <c r="BT11" s="30">
        <f>BT9+BT10</f>
        <v>1001205.8222105643</v>
      </c>
      <c r="BU11" s="30">
        <f t="shared" ref="BU11:CF11" si="37">BU9+BU10</f>
        <v>1001205.8222105643</v>
      </c>
      <c r="BV11" s="30">
        <f t="shared" si="37"/>
        <v>1001205.8222105643</v>
      </c>
      <c r="BW11" s="30">
        <f t="shared" si="37"/>
        <v>1001205.8222105643</v>
      </c>
      <c r="BX11" s="30">
        <f t="shared" si="37"/>
        <v>1001205.8222105643</v>
      </c>
      <c r="BY11" s="30">
        <f t="shared" si="37"/>
        <v>1001205.8222105643</v>
      </c>
      <c r="BZ11" s="30">
        <f t="shared" si="37"/>
        <v>1001205.8222105643</v>
      </c>
      <c r="CA11" s="30">
        <f t="shared" si="37"/>
        <v>1001205.8222105643</v>
      </c>
      <c r="CB11" s="30">
        <f t="shared" si="37"/>
        <v>1001205.8222105643</v>
      </c>
      <c r="CC11" s="30">
        <f t="shared" si="37"/>
        <v>1001205.8222105643</v>
      </c>
      <c r="CD11" s="30">
        <f t="shared" si="37"/>
        <v>1001205.8222105643</v>
      </c>
      <c r="CE11" s="30">
        <f t="shared" si="37"/>
        <v>1001205.8222105643</v>
      </c>
      <c r="CF11" s="30">
        <f t="shared" si="37"/>
        <v>12014469.866526775</v>
      </c>
      <c r="CG11" s="38"/>
      <c r="CH11" s="30">
        <f>CH9+CH10</f>
        <v>1114342.0801203582</v>
      </c>
      <c r="CI11" s="30">
        <f t="shared" ref="CI11:CT11" si="38">CI9+CI10</f>
        <v>1114342.0801203582</v>
      </c>
      <c r="CJ11" s="30">
        <f t="shared" si="38"/>
        <v>1114342.0801203582</v>
      </c>
      <c r="CK11" s="30">
        <f t="shared" si="38"/>
        <v>1114342.0801203582</v>
      </c>
      <c r="CL11" s="30">
        <f t="shared" si="38"/>
        <v>1114342.0801203582</v>
      </c>
      <c r="CM11" s="30">
        <f t="shared" si="38"/>
        <v>1114342.0801203582</v>
      </c>
      <c r="CN11" s="30">
        <f t="shared" si="38"/>
        <v>1114342.0801203582</v>
      </c>
      <c r="CO11" s="30">
        <f t="shared" si="38"/>
        <v>1114342.0801203582</v>
      </c>
      <c r="CP11" s="30">
        <f t="shared" si="38"/>
        <v>1114342.0801203582</v>
      </c>
      <c r="CQ11" s="30">
        <f t="shared" si="38"/>
        <v>1114342.0801203582</v>
      </c>
      <c r="CR11" s="30">
        <f t="shared" si="38"/>
        <v>1114342.0801203582</v>
      </c>
      <c r="CS11" s="30">
        <f t="shared" si="38"/>
        <v>1114342.0801203582</v>
      </c>
      <c r="CT11" s="30">
        <f t="shared" si="38"/>
        <v>13372104.961444302</v>
      </c>
      <c r="CU11" s="38"/>
      <c r="CV11" s="30">
        <f>CV9+CV10</f>
        <v>1240262.7351739586</v>
      </c>
      <c r="CW11" s="30">
        <f t="shared" ref="CW11:DH11" si="39">CW9+CW10</f>
        <v>1240262.7351739586</v>
      </c>
      <c r="CX11" s="30">
        <f t="shared" si="39"/>
        <v>1240262.7351739586</v>
      </c>
      <c r="CY11" s="30">
        <f t="shared" si="39"/>
        <v>1240262.7351739586</v>
      </c>
      <c r="CZ11" s="30">
        <f t="shared" si="39"/>
        <v>1240262.7351739586</v>
      </c>
      <c r="DA11" s="30">
        <f t="shared" si="39"/>
        <v>1240262.7351739586</v>
      </c>
      <c r="DB11" s="30">
        <f t="shared" si="39"/>
        <v>1240262.7351739586</v>
      </c>
      <c r="DC11" s="30">
        <f t="shared" si="39"/>
        <v>1240262.7351739586</v>
      </c>
      <c r="DD11" s="30">
        <f t="shared" si="39"/>
        <v>1240262.7351739586</v>
      </c>
      <c r="DE11" s="30">
        <f t="shared" si="39"/>
        <v>1240262.7351739586</v>
      </c>
      <c r="DF11" s="30">
        <f t="shared" si="39"/>
        <v>1240262.7351739586</v>
      </c>
      <c r="DG11" s="30">
        <f t="shared" si="39"/>
        <v>1240262.7351739586</v>
      </c>
      <c r="DH11" s="30">
        <f t="shared" si="39"/>
        <v>14883152.822087506</v>
      </c>
      <c r="DI11" s="38"/>
      <c r="DJ11" s="30">
        <f>DJ9+DJ10</f>
        <v>1380412.424248616</v>
      </c>
      <c r="DK11" s="30">
        <f t="shared" ref="DK11:DV11" si="40">DK9+DK10</f>
        <v>1380412.424248616</v>
      </c>
      <c r="DL11" s="30">
        <f t="shared" si="40"/>
        <v>1380412.424248616</v>
      </c>
      <c r="DM11" s="30">
        <f t="shared" si="40"/>
        <v>1380412.424248616</v>
      </c>
      <c r="DN11" s="30">
        <f t="shared" si="40"/>
        <v>1380412.424248616</v>
      </c>
      <c r="DO11" s="30">
        <f t="shared" si="40"/>
        <v>1380412.424248616</v>
      </c>
      <c r="DP11" s="30">
        <f t="shared" si="40"/>
        <v>1380412.424248616</v>
      </c>
      <c r="DQ11" s="30">
        <f t="shared" si="40"/>
        <v>1380412.424248616</v>
      </c>
      <c r="DR11" s="30">
        <f t="shared" si="40"/>
        <v>1380412.424248616</v>
      </c>
      <c r="DS11" s="30">
        <f t="shared" si="40"/>
        <v>1380412.424248616</v>
      </c>
      <c r="DT11" s="30">
        <f t="shared" si="40"/>
        <v>1380412.424248616</v>
      </c>
      <c r="DU11" s="30">
        <f t="shared" si="40"/>
        <v>1380412.424248616</v>
      </c>
      <c r="DV11" s="30">
        <f t="shared" si="40"/>
        <v>16564949.090983389</v>
      </c>
      <c r="DW11" s="38"/>
      <c r="DX11" s="30">
        <f>DX9+DX10</f>
        <v>1536399.0281887094</v>
      </c>
      <c r="DY11" s="30">
        <f t="shared" ref="DY11:EJ11" si="41">DY9+DY10</f>
        <v>1536399.0281887094</v>
      </c>
      <c r="DZ11" s="30">
        <f t="shared" si="41"/>
        <v>1536399.0281887094</v>
      </c>
      <c r="EA11" s="30">
        <f t="shared" si="41"/>
        <v>1536399.0281887094</v>
      </c>
      <c r="EB11" s="30">
        <f t="shared" si="41"/>
        <v>1536399.0281887094</v>
      </c>
      <c r="EC11" s="30">
        <f t="shared" si="41"/>
        <v>1536399.0281887094</v>
      </c>
      <c r="ED11" s="30">
        <f t="shared" si="41"/>
        <v>1536399.0281887094</v>
      </c>
      <c r="EE11" s="30">
        <f t="shared" si="41"/>
        <v>1536399.0281887094</v>
      </c>
      <c r="EF11" s="30">
        <f t="shared" si="41"/>
        <v>1536399.0281887094</v>
      </c>
      <c r="EG11" s="30">
        <f t="shared" si="41"/>
        <v>1536399.0281887094</v>
      </c>
      <c r="EH11" s="30">
        <f t="shared" si="41"/>
        <v>1536399.0281887094</v>
      </c>
      <c r="EI11" s="30">
        <f t="shared" si="41"/>
        <v>1536399.0281887094</v>
      </c>
      <c r="EJ11" s="30">
        <f t="shared" si="41"/>
        <v>18436788.338264514</v>
      </c>
    </row>
    <row r="12" spans="1:140" s="58" customFormat="1">
      <c r="A12" s="25" t="s">
        <v>226</v>
      </c>
      <c r="B12" s="101" t="s">
        <v>196</v>
      </c>
      <c r="C12" s="101"/>
      <c r="D12" s="101"/>
      <c r="E12" s="101"/>
      <c r="F12" s="101"/>
      <c r="G12" s="101"/>
      <c r="H12" s="101"/>
      <c r="I12" s="101"/>
      <c r="J12" s="101"/>
      <c r="K12" s="101"/>
      <c r="L12" s="101"/>
      <c r="M12" s="101"/>
      <c r="N12" s="101"/>
      <c r="O12" s="59"/>
      <c r="P12" s="101" t="s">
        <v>197</v>
      </c>
      <c r="Q12" s="101"/>
      <c r="R12" s="101"/>
      <c r="S12" s="101"/>
      <c r="T12" s="101"/>
      <c r="U12" s="101"/>
      <c r="V12" s="101"/>
      <c r="W12" s="101"/>
      <c r="X12" s="101"/>
      <c r="Y12" s="101"/>
      <c r="Z12" s="101"/>
      <c r="AA12" s="101"/>
      <c r="AB12" s="101"/>
      <c r="AC12" s="59"/>
      <c r="AD12" s="101" t="s">
        <v>198</v>
      </c>
      <c r="AE12" s="101"/>
      <c r="AF12" s="101"/>
      <c r="AG12" s="101"/>
      <c r="AH12" s="101"/>
      <c r="AI12" s="101"/>
      <c r="AJ12" s="101"/>
      <c r="AK12" s="101"/>
      <c r="AL12" s="101"/>
      <c r="AM12" s="101"/>
      <c r="AN12" s="101"/>
      <c r="AO12" s="101"/>
      <c r="AP12" s="101"/>
      <c r="AQ12" s="59"/>
      <c r="AR12" s="101" t="s">
        <v>199</v>
      </c>
      <c r="AS12" s="101"/>
      <c r="AT12" s="101"/>
      <c r="AU12" s="101"/>
      <c r="AV12" s="101"/>
      <c r="AW12" s="101"/>
      <c r="AX12" s="101"/>
      <c r="AY12" s="101"/>
      <c r="AZ12" s="101"/>
      <c r="BA12" s="101"/>
      <c r="BB12" s="101"/>
      <c r="BC12" s="101"/>
      <c r="BD12" s="101"/>
      <c r="BE12" s="59"/>
      <c r="BF12" s="101" t="s">
        <v>200</v>
      </c>
      <c r="BG12" s="101"/>
      <c r="BH12" s="101"/>
      <c r="BI12" s="101"/>
      <c r="BJ12" s="101"/>
      <c r="BK12" s="101"/>
      <c r="BL12" s="101"/>
      <c r="BM12" s="101"/>
      <c r="BN12" s="101"/>
      <c r="BO12" s="101"/>
      <c r="BP12" s="101"/>
      <c r="BQ12" s="101"/>
      <c r="BR12" s="101"/>
      <c r="BS12" s="59"/>
      <c r="BT12" s="101" t="s">
        <v>201</v>
      </c>
      <c r="BU12" s="101"/>
      <c r="BV12" s="101"/>
      <c r="BW12" s="101"/>
      <c r="BX12" s="101"/>
      <c r="BY12" s="101"/>
      <c r="BZ12" s="101"/>
      <c r="CA12" s="101"/>
      <c r="CB12" s="101"/>
      <c r="CC12" s="101"/>
      <c r="CD12" s="101"/>
      <c r="CE12" s="101"/>
      <c r="CF12" s="101"/>
      <c r="CG12" s="59"/>
      <c r="CH12" s="101" t="s">
        <v>202</v>
      </c>
      <c r="CI12" s="101"/>
      <c r="CJ12" s="101"/>
      <c r="CK12" s="101"/>
      <c r="CL12" s="101"/>
      <c r="CM12" s="101"/>
      <c r="CN12" s="101"/>
      <c r="CO12" s="101"/>
      <c r="CP12" s="101"/>
      <c r="CQ12" s="101"/>
      <c r="CR12" s="101"/>
      <c r="CS12" s="101"/>
      <c r="CT12" s="101"/>
      <c r="CU12" s="59"/>
      <c r="CV12" s="101" t="s">
        <v>203</v>
      </c>
      <c r="CW12" s="101"/>
      <c r="CX12" s="101"/>
      <c r="CY12" s="101"/>
      <c r="CZ12" s="101"/>
      <c r="DA12" s="101"/>
      <c r="DB12" s="101"/>
      <c r="DC12" s="101"/>
      <c r="DD12" s="101"/>
      <c r="DE12" s="101"/>
      <c r="DF12" s="101"/>
      <c r="DG12" s="101"/>
      <c r="DH12" s="101"/>
      <c r="DI12" s="59"/>
      <c r="DJ12" s="101" t="s">
        <v>204</v>
      </c>
      <c r="DK12" s="101"/>
      <c r="DL12" s="101"/>
      <c r="DM12" s="101"/>
      <c r="DN12" s="101"/>
      <c r="DO12" s="101"/>
      <c r="DP12" s="101"/>
      <c r="DQ12" s="101"/>
      <c r="DR12" s="101"/>
      <c r="DS12" s="101"/>
      <c r="DT12" s="101"/>
      <c r="DU12" s="101"/>
      <c r="DV12" s="101"/>
      <c r="DW12" s="59"/>
      <c r="DX12" s="101" t="s">
        <v>205</v>
      </c>
      <c r="DY12" s="101"/>
      <c r="DZ12" s="101"/>
      <c r="EA12" s="101"/>
      <c r="EB12" s="101"/>
      <c r="EC12" s="101"/>
      <c r="ED12" s="101"/>
      <c r="EE12" s="101"/>
      <c r="EF12" s="101"/>
      <c r="EG12" s="101"/>
      <c r="EH12" s="101"/>
      <c r="EI12" s="101"/>
      <c r="EJ12" s="101"/>
    </row>
    <row r="13" spans="1:140" s="26" customFormat="1">
      <c r="A13" s="27" t="s">
        <v>206</v>
      </c>
      <c r="B13" s="26" t="s">
        <v>207</v>
      </c>
      <c r="C13" s="26" t="s">
        <v>208</v>
      </c>
      <c r="D13" s="26" t="s">
        <v>209</v>
      </c>
      <c r="E13" s="26" t="s">
        <v>210</v>
      </c>
      <c r="F13" s="26" t="s">
        <v>211</v>
      </c>
      <c r="G13" s="26" t="s">
        <v>212</v>
      </c>
      <c r="H13" s="26" t="s">
        <v>213</v>
      </c>
      <c r="I13" s="26" t="s">
        <v>214</v>
      </c>
      <c r="J13" s="26" t="s">
        <v>215</v>
      </c>
      <c r="K13" s="26" t="s">
        <v>216</v>
      </c>
      <c r="L13" s="26" t="s">
        <v>217</v>
      </c>
      <c r="M13" s="26" t="s">
        <v>218</v>
      </c>
      <c r="N13" s="28" t="s">
        <v>219</v>
      </c>
      <c r="O13" s="39"/>
      <c r="P13" s="26" t="s">
        <v>207</v>
      </c>
      <c r="Q13" s="26" t="s">
        <v>208</v>
      </c>
      <c r="R13" s="26" t="s">
        <v>209</v>
      </c>
      <c r="S13" s="26" t="s">
        <v>210</v>
      </c>
      <c r="T13" s="26" t="s">
        <v>211</v>
      </c>
      <c r="U13" s="26" t="s">
        <v>212</v>
      </c>
      <c r="V13" s="26" t="s">
        <v>213</v>
      </c>
      <c r="W13" s="26" t="s">
        <v>214</v>
      </c>
      <c r="X13" s="26" t="s">
        <v>215</v>
      </c>
      <c r="Y13" s="26" t="s">
        <v>216</v>
      </c>
      <c r="Z13" s="26" t="s">
        <v>217</v>
      </c>
      <c r="AA13" s="26" t="s">
        <v>218</v>
      </c>
      <c r="AB13" s="28" t="s">
        <v>219</v>
      </c>
      <c r="AC13" s="39"/>
      <c r="AD13" s="26" t="s">
        <v>207</v>
      </c>
      <c r="AE13" s="26" t="s">
        <v>208</v>
      </c>
      <c r="AF13" s="26" t="s">
        <v>209</v>
      </c>
      <c r="AG13" s="26" t="s">
        <v>210</v>
      </c>
      <c r="AH13" s="26" t="s">
        <v>211</v>
      </c>
      <c r="AI13" s="26" t="s">
        <v>212</v>
      </c>
      <c r="AJ13" s="26" t="s">
        <v>213</v>
      </c>
      <c r="AK13" s="26" t="s">
        <v>214</v>
      </c>
      <c r="AL13" s="26" t="s">
        <v>215</v>
      </c>
      <c r="AM13" s="26" t="s">
        <v>216</v>
      </c>
      <c r="AN13" s="26" t="s">
        <v>217</v>
      </c>
      <c r="AO13" s="26" t="s">
        <v>218</v>
      </c>
      <c r="AP13" s="28" t="s">
        <v>219</v>
      </c>
      <c r="AQ13" s="39"/>
      <c r="AR13" s="26" t="s">
        <v>207</v>
      </c>
      <c r="AS13" s="26" t="s">
        <v>208</v>
      </c>
      <c r="AT13" s="26" t="s">
        <v>209</v>
      </c>
      <c r="AU13" s="26" t="s">
        <v>210</v>
      </c>
      <c r="AV13" s="26" t="s">
        <v>211</v>
      </c>
      <c r="AW13" s="26" t="s">
        <v>212</v>
      </c>
      <c r="AX13" s="26" t="s">
        <v>213</v>
      </c>
      <c r="AY13" s="26" t="s">
        <v>214</v>
      </c>
      <c r="AZ13" s="26" t="s">
        <v>215</v>
      </c>
      <c r="BA13" s="26" t="s">
        <v>216</v>
      </c>
      <c r="BB13" s="26" t="s">
        <v>217</v>
      </c>
      <c r="BC13" s="26" t="s">
        <v>218</v>
      </c>
      <c r="BD13" s="28" t="s">
        <v>219</v>
      </c>
      <c r="BE13" s="39"/>
      <c r="BF13" s="26" t="s">
        <v>207</v>
      </c>
      <c r="BG13" s="26" t="s">
        <v>208</v>
      </c>
      <c r="BH13" s="26" t="s">
        <v>209</v>
      </c>
      <c r="BI13" s="26" t="s">
        <v>210</v>
      </c>
      <c r="BJ13" s="26" t="s">
        <v>211</v>
      </c>
      <c r="BK13" s="26" t="s">
        <v>212</v>
      </c>
      <c r="BL13" s="26" t="s">
        <v>213</v>
      </c>
      <c r="BM13" s="26" t="s">
        <v>214</v>
      </c>
      <c r="BN13" s="26" t="s">
        <v>215</v>
      </c>
      <c r="BO13" s="26" t="s">
        <v>216</v>
      </c>
      <c r="BP13" s="26" t="s">
        <v>217</v>
      </c>
      <c r="BQ13" s="26" t="s">
        <v>218</v>
      </c>
      <c r="BR13" s="28" t="s">
        <v>219</v>
      </c>
      <c r="BS13" s="39"/>
      <c r="BT13" s="26" t="s">
        <v>207</v>
      </c>
      <c r="BU13" s="26" t="s">
        <v>208</v>
      </c>
      <c r="BV13" s="26" t="s">
        <v>209</v>
      </c>
      <c r="BW13" s="26" t="s">
        <v>210</v>
      </c>
      <c r="BX13" s="26" t="s">
        <v>211</v>
      </c>
      <c r="BY13" s="26" t="s">
        <v>212</v>
      </c>
      <c r="BZ13" s="26" t="s">
        <v>213</v>
      </c>
      <c r="CA13" s="26" t="s">
        <v>214</v>
      </c>
      <c r="CB13" s="26" t="s">
        <v>215</v>
      </c>
      <c r="CC13" s="26" t="s">
        <v>216</v>
      </c>
      <c r="CD13" s="26" t="s">
        <v>217</v>
      </c>
      <c r="CE13" s="26" t="s">
        <v>218</v>
      </c>
      <c r="CF13" s="28" t="s">
        <v>219</v>
      </c>
      <c r="CG13" s="39"/>
      <c r="CH13" s="26" t="s">
        <v>207</v>
      </c>
      <c r="CI13" s="26" t="s">
        <v>208</v>
      </c>
      <c r="CJ13" s="26" t="s">
        <v>209</v>
      </c>
      <c r="CK13" s="26" t="s">
        <v>210</v>
      </c>
      <c r="CL13" s="26" t="s">
        <v>211</v>
      </c>
      <c r="CM13" s="26" t="s">
        <v>212</v>
      </c>
      <c r="CN13" s="26" t="s">
        <v>213</v>
      </c>
      <c r="CO13" s="26" t="s">
        <v>214</v>
      </c>
      <c r="CP13" s="26" t="s">
        <v>215</v>
      </c>
      <c r="CQ13" s="26" t="s">
        <v>216</v>
      </c>
      <c r="CR13" s="26" t="s">
        <v>217</v>
      </c>
      <c r="CS13" s="26" t="s">
        <v>218</v>
      </c>
      <c r="CT13" s="28" t="s">
        <v>219</v>
      </c>
      <c r="CU13" s="39"/>
      <c r="CV13" s="26" t="s">
        <v>207</v>
      </c>
      <c r="CW13" s="26" t="s">
        <v>208</v>
      </c>
      <c r="CX13" s="26" t="s">
        <v>209</v>
      </c>
      <c r="CY13" s="26" t="s">
        <v>210</v>
      </c>
      <c r="CZ13" s="26" t="s">
        <v>211</v>
      </c>
      <c r="DA13" s="26" t="s">
        <v>212</v>
      </c>
      <c r="DB13" s="26" t="s">
        <v>213</v>
      </c>
      <c r="DC13" s="26" t="s">
        <v>214</v>
      </c>
      <c r="DD13" s="26" t="s">
        <v>215</v>
      </c>
      <c r="DE13" s="26" t="s">
        <v>216</v>
      </c>
      <c r="DF13" s="26" t="s">
        <v>217</v>
      </c>
      <c r="DG13" s="26" t="s">
        <v>218</v>
      </c>
      <c r="DH13" s="28" t="s">
        <v>219</v>
      </c>
      <c r="DI13" s="39"/>
      <c r="DJ13" s="26" t="s">
        <v>207</v>
      </c>
      <c r="DK13" s="26" t="s">
        <v>208</v>
      </c>
      <c r="DL13" s="26" t="s">
        <v>209</v>
      </c>
      <c r="DM13" s="26" t="s">
        <v>210</v>
      </c>
      <c r="DN13" s="26" t="s">
        <v>211</v>
      </c>
      <c r="DO13" s="26" t="s">
        <v>212</v>
      </c>
      <c r="DP13" s="26" t="s">
        <v>213</v>
      </c>
      <c r="DQ13" s="26" t="s">
        <v>214</v>
      </c>
      <c r="DR13" s="26" t="s">
        <v>215</v>
      </c>
      <c r="DS13" s="26" t="s">
        <v>216</v>
      </c>
      <c r="DT13" s="26" t="s">
        <v>217</v>
      </c>
      <c r="DU13" s="26" t="s">
        <v>218</v>
      </c>
      <c r="DV13" s="28" t="s">
        <v>219</v>
      </c>
      <c r="DW13" s="39"/>
      <c r="DX13" s="26" t="s">
        <v>207</v>
      </c>
      <c r="DY13" s="26" t="s">
        <v>208</v>
      </c>
      <c r="DZ13" s="26" t="s">
        <v>209</v>
      </c>
      <c r="EA13" s="26" t="s">
        <v>210</v>
      </c>
      <c r="EB13" s="26" t="s">
        <v>211</v>
      </c>
      <c r="EC13" s="26" t="s">
        <v>212</v>
      </c>
      <c r="ED13" s="26" t="s">
        <v>213</v>
      </c>
      <c r="EE13" s="26" t="s">
        <v>214</v>
      </c>
      <c r="EF13" s="26" t="s">
        <v>215</v>
      </c>
      <c r="EG13" s="26" t="s">
        <v>216</v>
      </c>
      <c r="EH13" s="26" t="s">
        <v>217</v>
      </c>
      <c r="EI13" s="26" t="s">
        <v>218</v>
      </c>
      <c r="EJ13" s="28" t="s">
        <v>219</v>
      </c>
    </row>
    <row r="14" spans="1:140">
      <c r="A14" s="18" t="s">
        <v>227</v>
      </c>
      <c r="B14" s="30">
        <f>B15+B26+B30+B35</f>
        <v>362590</v>
      </c>
      <c r="C14" s="30">
        <f t="shared" ref="C14:M14" si="42">C15+C26+C30+C35</f>
        <v>362590</v>
      </c>
      <c r="D14" s="30">
        <f t="shared" si="42"/>
        <v>362590</v>
      </c>
      <c r="E14" s="30">
        <f t="shared" si="42"/>
        <v>362590</v>
      </c>
      <c r="F14" s="30">
        <f t="shared" si="42"/>
        <v>362590</v>
      </c>
      <c r="G14" s="30">
        <f t="shared" si="42"/>
        <v>362590</v>
      </c>
      <c r="H14" s="30">
        <f t="shared" si="42"/>
        <v>362590</v>
      </c>
      <c r="I14" s="30">
        <f t="shared" si="42"/>
        <v>362590</v>
      </c>
      <c r="J14" s="30">
        <f t="shared" si="42"/>
        <v>362590</v>
      </c>
      <c r="K14" s="30">
        <f t="shared" si="42"/>
        <v>362590</v>
      </c>
      <c r="L14" s="30">
        <f t="shared" si="42"/>
        <v>362590</v>
      </c>
      <c r="M14" s="30">
        <f t="shared" si="42"/>
        <v>362590</v>
      </c>
      <c r="N14" s="30">
        <f>SUM(B14:M14)</f>
        <v>4351080</v>
      </c>
      <c r="O14" s="38"/>
      <c r="P14" s="30">
        <f>P15+P26+P30+P35</f>
        <v>397029.59899999999</v>
      </c>
      <c r="Q14" s="30">
        <f t="shared" ref="Q14" si="43">Q15+Q26+Q30+Q35</f>
        <v>397029.59899999999</v>
      </c>
      <c r="R14" s="30">
        <f t="shared" ref="R14" si="44">R15+R26+R30+R35</f>
        <v>397029.59899999999</v>
      </c>
      <c r="S14" s="30">
        <f t="shared" ref="S14" si="45">S15+S26+S30+S35</f>
        <v>397029.59899999999</v>
      </c>
      <c r="T14" s="30">
        <f t="shared" ref="T14" si="46">T15+T26+T30+T35</f>
        <v>397029.59899999999</v>
      </c>
      <c r="U14" s="30">
        <f t="shared" ref="U14" si="47">U15+U26+U30+U35</f>
        <v>397029.59899999999</v>
      </c>
      <c r="V14" s="30">
        <f t="shared" ref="V14" si="48">V15+V26+V30+V35</f>
        <v>397029.59899999999</v>
      </c>
      <c r="W14" s="30">
        <f t="shared" ref="W14" si="49">W15+W26+W30+W35</f>
        <v>397029.59899999999</v>
      </c>
      <c r="X14" s="30">
        <f t="shared" ref="X14" si="50">X15+X26+X30+X35</f>
        <v>397029.59899999999</v>
      </c>
      <c r="Y14" s="30">
        <f t="shared" ref="Y14" si="51">Y15+Y26+Y30+Y35</f>
        <v>397029.59899999999</v>
      </c>
      <c r="Z14" s="30">
        <f t="shared" ref="Z14" si="52">Z15+Z26+Z30+Z35</f>
        <v>397029.59899999999</v>
      </c>
      <c r="AA14" s="30">
        <f t="shared" ref="AA14" si="53">AA15+AA26+AA30+AA35</f>
        <v>397029.59899999999</v>
      </c>
      <c r="AB14" s="30">
        <f>SUM(P14:AA14)</f>
        <v>4764355.1880000001</v>
      </c>
      <c r="AC14" s="38"/>
      <c r="AD14" s="30">
        <f>AD15+AD26+AD30+AD35</f>
        <v>437334.45968700002</v>
      </c>
      <c r="AE14" s="30">
        <f t="shared" ref="AE14" si="54">AE15+AE26+AE30+AE35</f>
        <v>437334.45968700002</v>
      </c>
      <c r="AF14" s="30">
        <f t="shared" ref="AF14" si="55">AF15+AF26+AF30+AF35</f>
        <v>437334.45968700002</v>
      </c>
      <c r="AG14" s="30">
        <f t="shared" ref="AG14" si="56">AG15+AG26+AG30+AG35</f>
        <v>437334.45968700002</v>
      </c>
      <c r="AH14" s="30">
        <f t="shared" ref="AH14" si="57">AH15+AH26+AH30+AH35</f>
        <v>437334.45968700002</v>
      </c>
      <c r="AI14" s="30">
        <f t="shared" ref="AI14" si="58">AI15+AI26+AI30+AI35</f>
        <v>437334.45968700002</v>
      </c>
      <c r="AJ14" s="30">
        <f t="shared" ref="AJ14" si="59">AJ15+AJ26+AJ30+AJ35</f>
        <v>437334.45968700002</v>
      </c>
      <c r="AK14" s="30">
        <f t="shared" ref="AK14" si="60">AK15+AK26+AK30+AK35</f>
        <v>437334.45968700002</v>
      </c>
      <c r="AL14" s="30">
        <f t="shared" ref="AL14" si="61">AL15+AL26+AL30+AL35</f>
        <v>437334.45968700002</v>
      </c>
      <c r="AM14" s="30">
        <f t="shared" ref="AM14" si="62">AM15+AM26+AM30+AM35</f>
        <v>437334.45968700002</v>
      </c>
      <c r="AN14" s="30">
        <f t="shared" ref="AN14" si="63">AN15+AN26+AN30+AN35</f>
        <v>437334.45968700002</v>
      </c>
      <c r="AO14" s="30">
        <f t="shared" ref="AO14" si="64">AO15+AO26+AO30+AO35</f>
        <v>437334.45968700002</v>
      </c>
      <c r="AP14" s="30">
        <f>SUM(AD14:AO14)</f>
        <v>5248013.5162440008</v>
      </c>
      <c r="AQ14" s="38"/>
      <c r="AR14" s="30">
        <f>AR15+AR26+AR30+AR35</f>
        <v>481920.20059163106</v>
      </c>
      <c r="AS14" s="30">
        <f t="shared" ref="AS14" si="65">AS15+AS26+AS30+AS35</f>
        <v>481920.20059163106</v>
      </c>
      <c r="AT14" s="30">
        <f t="shared" ref="AT14" si="66">AT15+AT26+AT30+AT35</f>
        <v>481920.20059163106</v>
      </c>
      <c r="AU14" s="30">
        <f t="shared" ref="AU14" si="67">AU15+AU26+AU30+AU35</f>
        <v>481920.20059163106</v>
      </c>
      <c r="AV14" s="30">
        <f t="shared" ref="AV14" si="68">AV15+AV26+AV30+AV35</f>
        <v>481920.20059163106</v>
      </c>
      <c r="AW14" s="30">
        <f t="shared" ref="AW14" si="69">AW15+AW26+AW30+AW35</f>
        <v>481920.20059163106</v>
      </c>
      <c r="AX14" s="30">
        <f t="shared" ref="AX14" si="70">AX15+AX26+AX30+AX35</f>
        <v>481920.20059163106</v>
      </c>
      <c r="AY14" s="30">
        <f t="shared" ref="AY14" si="71">AY15+AY26+AY30+AY35</f>
        <v>481920.20059163106</v>
      </c>
      <c r="AZ14" s="30">
        <f t="shared" ref="AZ14" si="72">AZ15+AZ26+AZ30+AZ35</f>
        <v>481920.20059163106</v>
      </c>
      <c r="BA14" s="30">
        <f t="shared" ref="BA14" si="73">BA15+BA26+BA30+BA35</f>
        <v>481920.20059163106</v>
      </c>
      <c r="BB14" s="30">
        <f t="shared" ref="BB14" si="74">BB15+BB26+BB30+BB35</f>
        <v>481920.20059163106</v>
      </c>
      <c r="BC14" s="30">
        <f t="shared" ref="BC14" si="75">BC15+BC26+BC30+BC35</f>
        <v>481920.20059163106</v>
      </c>
      <c r="BD14" s="30">
        <f>SUM(AR14:BC14)</f>
        <v>5783042.4070995739</v>
      </c>
      <c r="BE14" s="38"/>
      <c r="BF14" s="30">
        <f>BF15+BF26+BF30+BF35</f>
        <v>531254.14703608537</v>
      </c>
      <c r="BG14" s="30">
        <f t="shared" ref="BG14" si="76">BG15+BG26+BG30+BG35</f>
        <v>531254.14703608537</v>
      </c>
      <c r="BH14" s="30">
        <f t="shared" ref="BH14" si="77">BH15+BH26+BH30+BH35</f>
        <v>531254.14703608537</v>
      </c>
      <c r="BI14" s="30">
        <f t="shared" ref="BI14" si="78">BI15+BI26+BI30+BI35</f>
        <v>531254.14703608537</v>
      </c>
      <c r="BJ14" s="30">
        <f t="shared" ref="BJ14" si="79">BJ15+BJ26+BJ30+BJ35</f>
        <v>531254.14703608537</v>
      </c>
      <c r="BK14" s="30">
        <f t="shared" ref="BK14" si="80">BK15+BK26+BK30+BK35</f>
        <v>531254.14703608537</v>
      </c>
      <c r="BL14" s="30">
        <f t="shared" ref="BL14" si="81">BL15+BL26+BL30+BL35</f>
        <v>531254.14703608537</v>
      </c>
      <c r="BM14" s="30">
        <f t="shared" ref="BM14" si="82">BM15+BM26+BM30+BM35</f>
        <v>531254.14703608537</v>
      </c>
      <c r="BN14" s="30">
        <f t="shared" ref="BN14" si="83">BN15+BN26+BN30+BN35</f>
        <v>531254.14703608537</v>
      </c>
      <c r="BO14" s="30">
        <f t="shared" ref="BO14" si="84">BO15+BO26+BO30+BO35</f>
        <v>531254.14703608537</v>
      </c>
      <c r="BP14" s="30">
        <f t="shared" ref="BP14" si="85">BP15+BP26+BP30+BP35</f>
        <v>531254.14703608537</v>
      </c>
      <c r="BQ14" s="30">
        <f t="shared" ref="BQ14" si="86">BQ15+BQ26+BQ30+BQ35</f>
        <v>531254.14703608537</v>
      </c>
      <c r="BR14" s="30">
        <f>SUM(BF14:BQ14)</f>
        <v>6375049.7644330226</v>
      </c>
      <c r="BS14" s="38"/>
      <c r="BT14" s="30">
        <f>BT15+BT26+BT30+BT35</f>
        <v>585855.4472554191</v>
      </c>
      <c r="BU14" s="30">
        <f t="shared" ref="BU14" si="87">BU15+BU26+BU30+BU35</f>
        <v>585855.4472554191</v>
      </c>
      <c r="BV14" s="30">
        <f t="shared" ref="BV14" si="88">BV15+BV26+BV30+BV35</f>
        <v>585855.4472554191</v>
      </c>
      <c r="BW14" s="30">
        <f t="shared" ref="BW14" si="89">BW15+BW26+BW30+BW35</f>
        <v>585855.4472554191</v>
      </c>
      <c r="BX14" s="30">
        <f t="shared" ref="BX14" si="90">BX15+BX26+BX30+BX35</f>
        <v>585855.4472554191</v>
      </c>
      <c r="BY14" s="30">
        <f t="shared" ref="BY14" si="91">BY15+BY26+BY30+BY35</f>
        <v>585855.4472554191</v>
      </c>
      <c r="BZ14" s="30">
        <f t="shared" ref="BZ14" si="92">BZ15+BZ26+BZ30+BZ35</f>
        <v>585855.4472554191</v>
      </c>
      <c r="CA14" s="30">
        <f t="shared" ref="CA14" si="93">CA15+CA26+CA30+CA35</f>
        <v>585855.4472554191</v>
      </c>
      <c r="CB14" s="30">
        <f t="shared" ref="CB14" si="94">CB15+CB26+CB30+CB35</f>
        <v>585855.4472554191</v>
      </c>
      <c r="CC14" s="30">
        <f t="shared" ref="CC14" si="95">CC15+CC26+CC30+CC35</f>
        <v>585855.4472554191</v>
      </c>
      <c r="CD14" s="30">
        <f t="shared" ref="CD14" si="96">CD15+CD26+CD30+CD35</f>
        <v>585855.4472554191</v>
      </c>
      <c r="CE14" s="30">
        <f t="shared" ref="CE14" si="97">CE15+CE26+CE30+CE35</f>
        <v>585855.4472554191</v>
      </c>
      <c r="CF14" s="30">
        <f>SUM(BT14:CE14)</f>
        <v>7030265.3670650311</v>
      </c>
      <c r="CG14" s="38"/>
      <c r="CH14" s="30">
        <f>CH15+CH26+CH30+CH35</f>
        <v>646300.86929579289</v>
      </c>
      <c r="CI14" s="30">
        <f t="shared" ref="CI14" si="98">CI15+CI26+CI30+CI35</f>
        <v>646300.86929579289</v>
      </c>
      <c r="CJ14" s="30">
        <f t="shared" ref="CJ14" si="99">CJ15+CJ26+CJ30+CJ35</f>
        <v>646300.86929579289</v>
      </c>
      <c r="CK14" s="30">
        <f t="shared" ref="CK14" si="100">CK15+CK26+CK30+CK35</f>
        <v>646300.86929579289</v>
      </c>
      <c r="CL14" s="30">
        <f t="shared" ref="CL14" si="101">CL15+CL26+CL30+CL35</f>
        <v>646300.86929579289</v>
      </c>
      <c r="CM14" s="30">
        <f t="shared" ref="CM14" si="102">CM15+CM26+CM30+CM35</f>
        <v>646300.86929579289</v>
      </c>
      <c r="CN14" s="30">
        <f t="shared" ref="CN14" si="103">CN15+CN26+CN30+CN35</f>
        <v>646300.86929579289</v>
      </c>
      <c r="CO14" s="30">
        <f t="shared" ref="CO14" si="104">CO15+CO26+CO30+CO35</f>
        <v>646300.86929579289</v>
      </c>
      <c r="CP14" s="30">
        <f t="shared" ref="CP14" si="105">CP15+CP26+CP30+CP35</f>
        <v>646300.86929579289</v>
      </c>
      <c r="CQ14" s="30">
        <f t="shared" ref="CQ14" si="106">CQ15+CQ26+CQ30+CQ35</f>
        <v>646300.86929579289</v>
      </c>
      <c r="CR14" s="30">
        <f t="shared" ref="CR14" si="107">CR15+CR26+CR30+CR35</f>
        <v>646300.86929579289</v>
      </c>
      <c r="CS14" s="30">
        <f t="shared" ref="CS14" si="108">CS15+CS26+CS30+CS35</f>
        <v>646300.86929579289</v>
      </c>
      <c r="CT14" s="30">
        <f>SUM(CH14:CS14)</f>
        <v>7755610.4315495128</v>
      </c>
      <c r="CU14" s="38"/>
      <c r="CV14" s="30">
        <f>CV15+CV26+CV30+CV35</f>
        <v>713231.2494167597</v>
      </c>
      <c r="CW14" s="30">
        <f t="shared" ref="CW14" si="109">CW15+CW26+CW30+CW35</f>
        <v>713231.2494167597</v>
      </c>
      <c r="CX14" s="30">
        <f t="shared" ref="CX14" si="110">CX15+CX26+CX30+CX35</f>
        <v>713231.2494167597</v>
      </c>
      <c r="CY14" s="30">
        <f t="shared" ref="CY14" si="111">CY15+CY26+CY30+CY35</f>
        <v>713231.2494167597</v>
      </c>
      <c r="CZ14" s="30">
        <f t="shared" ref="CZ14" si="112">CZ15+CZ26+CZ30+CZ35</f>
        <v>713231.2494167597</v>
      </c>
      <c r="DA14" s="30">
        <f t="shared" ref="DA14" si="113">DA15+DA26+DA30+DA35</f>
        <v>713231.2494167597</v>
      </c>
      <c r="DB14" s="30">
        <f t="shared" ref="DB14" si="114">DB15+DB26+DB30+DB35</f>
        <v>713231.2494167597</v>
      </c>
      <c r="DC14" s="30">
        <f t="shared" ref="DC14" si="115">DC15+DC26+DC30+DC35</f>
        <v>713231.2494167597</v>
      </c>
      <c r="DD14" s="30">
        <f t="shared" ref="DD14" si="116">DD15+DD26+DD30+DD35</f>
        <v>713231.2494167597</v>
      </c>
      <c r="DE14" s="30">
        <f t="shared" ref="DE14" si="117">DE15+DE26+DE30+DE35</f>
        <v>713231.2494167597</v>
      </c>
      <c r="DF14" s="30">
        <f t="shared" ref="DF14" si="118">DF15+DF26+DF30+DF35</f>
        <v>713231.2494167597</v>
      </c>
      <c r="DG14" s="30">
        <f t="shared" ref="DG14" si="119">DG15+DG26+DG30+DG35</f>
        <v>713231.2494167597</v>
      </c>
      <c r="DH14" s="30">
        <f>SUM(CV14:DG14)</f>
        <v>8558774.9930011146</v>
      </c>
      <c r="DI14" s="38"/>
      <c r="DJ14" s="30">
        <f>DJ15+DJ26+DJ30+DJ35</f>
        <v>787358.66540482827</v>
      </c>
      <c r="DK14" s="30">
        <f t="shared" ref="DK14" si="120">DK15+DK26+DK30+DK35</f>
        <v>787358.66540482827</v>
      </c>
      <c r="DL14" s="30">
        <f t="shared" ref="DL14" si="121">DL15+DL26+DL30+DL35</f>
        <v>787358.66540482827</v>
      </c>
      <c r="DM14" s="30">
        <f t="shared" ref="DM14" si="122">DM15+DM26+DM30+DM35</f>
        <v>787358.66540482827</v>
      </c>
      <c r="DN14" s="30">
        <f t="shared" ref="DN14" si="123">DN15+DN26+DN30+DN35</f>
        <v>787358.66540482827</v>
      </c>
      <c r="DO14" s="30">
        <f t="shared" ref="DO14" si="124">DO15+DO26+DO30+DO35</f>
        <v>787358.66540482827</v>
      </c>
      <c r="DP14" s="30">
        <f t="shared" ref="DP14" si="125">DP15+DP26+DP30+DP35</f>
        <v>787358.66540482827</v>
      </c>
      <c r="DQ14" s="30">
        <f t="shared" ref="DQ14" si="126">DQ15+DQ26+DQ30+DQ35</f>
        <v>787358.66540482827</v>
      </c>
      <c r="DR14" s="30">
        <f t="shared" ref="DR14" si="127">DR15+DR26+DR30+DR35</f>
        <v>787358.66540482827</v>
      </c>
      <c r="DS14" s="30">
        <f t="shared" ref="DS14" si="128">DS15+DS26+DS30+DS35</f>
        <v>787358.66540482827</v>
      </c>
      <c r="DT14" s="30">
        <f t="shared" ref="DT14" si="129">DT15+DT26+DT30+DT35</f>
        <v>787358.66540482827</v>
      </c>
      <c r="DU14" s="30">
        <f t="shared" ref="DU14" si="130">DU15+DU26+DU30+DU35</f>
        <v>787358.66540482827</v>
      </c>
      <c r="DV14" s="30">
        <f>SUM(DJ14:DU14)</f>
        <v>9448303.9848579392</v>
      </c>
      <c r="DW14" s="38"/>
      <c r="DX14" s="30">
        <f>DX15+DX26+DX30+DX35</f>
        <v>869474.4164877868</v>
      </c>
      <c r="DY14" s="30">
        <f t="shared" ref="DY14" si="131">DY15+DY26+DY30+DY35</f>
        <v>869474.4164877868</v>
      </c>
      <c r="DZ14" s="30">
        <f t="shared" ref="DZ14" si="132">DZ15+DZ26+DZ30+DZ35</f>
        <v>869474.4164877868</v>
      </c>
      <c r="EA14" s="30">
        <f t="shared" ref="EA14" si="133">EA15+EA26+EA30+EA35</f>
        <v>869474.4164877868</v>
      </c>
      <c r="EB14" s="30">
        <f t="shared" ref="EB14" si="134">EB15+EB26+EB30+EB35</f>
        <v>869474.4164877868</v>
      </c>
      <c r="EC14" s="30">
        <f t="shared" ref="EC14" si="135">EC15+EC26+EC30+EC35</f>
        <v>869474.4164877868</v>
      </c>
      <c r="ED14" s="30">
        <f t="shared" ref="ED14" si="136">ED15+ED26+ED30+ED35</f>
        <v>869474.4164877868</v>
      </c>
      <c r="EE14" s="30">
        <f t="shared" ref="EE14" si="137">EE15+EE26+EE30+EE35</f>
        <v>869474.4164877868</v>
      </c>
      <c r="EF14" s="30">
        <f t="shared" ref="EF14" si="138">EF15+EF26+EF30+EF35</f>
        <v>869474.4164877868</v>
      </c>
      <c r="EG14" s="30">
        <f t="shared" ref="EG14" si="139">EG15+EG26+EG30+EG35</f>
        <v>869474.4164877868</v>
      </c>
      <c r="EH14" s="30">
        <f t="shared" ref="EH14" si="140">EH15+EH26+EH30+EH35</f>
        <v>869474.4164877868</v>
      </c>
      <c r="EI14" s="30">
        <f t="shared" ref="EI14" si="141">EI15+EI26+EI30+EI35</f>
        <v>869474.4164877868</v>
      </c>
      <c r="EJ14" s="30">
        <f>SUM(DX14:EI14)</f>
        <v>10433692.997853441</v>
      </c>
    </row>
    <row r="15" spans="1:140">
      <c r="A15" s="18" t="s">
        <v>228</v>
      </c>
      <c r="B15" s="30">
        <f t="shared" ref="B15" si="142">SUM(B16:B25)</f>
        <v>256030</v>
      </c>
      <c r="C15" s="30">
        <f t="shared" ref="C15:M15" si="143">SUM(C16:C25)</f>
        <v>256030</v>
      </c>
      <c r="D15" s="30">
        <f t="shared" si="143"/>
        <v>256030</v>
      </c>
      <c r="E15" s="30">
        <f t="shared" si="143"/>
        <v>256030</v>
      </c>
      <c r="F15" s="30">
        <f t="shared" si="143"/>
        <v>256030</v>
      </c>
      <c r="G15" s="30">
        <f t="shared" si="143"/>
        <v>256030</v>
      </c>
      <c r="H15" s="30">
        <f t="shared" si="143"/>
        <v>256030</v>
      </c>
      <c r="I15" s="30">
        <f t="shared" si="143"/>
        <v>256030</v>
      </c>
      <c r="J15" s="30">
        <f t="shared" si="143"/>
        <v>256030</v>
      </c>
      <c r="K15" s="30">
        <f t="shared" si="143"/>
        <v>256030</v>
      </c>
      <c r="L15" s="30">
        <f t="shared" si="143"/>
        <v>256030</v>
      </c>
      <c r="M15" s="30">
        <f t="shared" si="143"/>
        <v>256030</v>
      </c>
      <c r="N15" s="30">
        <f t="shared" ref="N15:N54" si="144">SUM(B15:M15)</f>
        <v>3072360</v>
      </c>
      <c r="O15" s="38"/>
      <c r="P15" s="30">
        <f t="shared" ref="P15:AA15" si="145">SUM(P16:P25)</f>
        <v>282170.663</v>
      </c>
      <c r="Q15" s="30">
        <f t="shared" si="145"/>
        <v>282170.663</v>
      </c>
      <c r="R15" s="30">
        <f t="shared" si="145"/>
        <v>282170.663</v>
      </c>
      <c r="S15" s="30">
        <f t="shared" si="145"/>
        <v>282170.663</v>
      </c>
      <c r="T15" s="30">
        <f t="shared" si="145"/>
        <v>282170.663</v>
      </c>
      <c r="U15" s="30">
        <f t="shared" si="145"/>
        <v>282170.663</v>
      </c>
      <c r="V15" s="30">
        <f t="shared" si="145"/>
        <v>282170.663</v>
      </c>
      <c r="W15" s="30">
        <f t="shared" si="145"/>
        <v>282170.663</v>
      </c>
      <c r="X15" s="30">
        <f t="shared" si="145"/>
        <v>282170.663</v>
      </c>
      <c r="Y15" s="30">
        <f t="shared" si="145"/>
        <v>282170.663</v>
      </c>
      <c r="Z15" s="30">
        <f t="shared" si="145"/>
        <v>282170.663</v>
      </c>
      <c r="AA15" s="30">
        <f t="shared" si="145"/>
        <v>282170.663</v>
      </c>
      <c r="AB15" s="30">
        <f t="shared" ref="AB15:AB54" si="146">SUM(P15:AA15)</f>
        <v>3386047.9560000007</v>
      </c>
      <c r="AC15" s="38"/>
      <c r="AD15" s="30">
        <f t="shared" ref="AD15:AO15" si="147">SUM(AD16:AD25)</f>
        <v>314055.947919</v>
      </c>
      <c r="AE15" s="30">
        <f t="shared" si="147"/>
        <v>314055.947919</v>
      </c>
      <c r="AF15" s="30">
        <f t="shared" si="147"/>
        <v>314055.947919</v>
      </c>
      <c r="AG15" s="30">
        <f t="shared" si="147"/>
        <v>314055.947919</v>
      </c>
      <c r="AH15" s="30">
        <f t="shared" si="147"/>
        <v>314055.947919</v>
      </c>
      <c r="AI15" s="30">
        <f t="shared" si="147"/>
        <v>314055.947919</v>
      </c>
      <c r="AJ15" s="30">
        <f t="shared" si="147"/>
        <v>314055.947919</v>
      </c>
      <c r="AK15" s="30">
        <f t="shared" si="147"/>
        <v>314055.947919</v>
      </c>
      <c r="AL15" s="30">
        <f t="shared" si="147"/>
        <v>314055.947919</v>
      </c>
      <c r="AM15" s="30">
        <f t="shared" si="147"/>
        <v>314055.947919</v>
      </c>
      <c r="AN15" s="30">
        <f t="shared" si="147"/>
        <v>314055.947919</v>
      </c>
      <c r="AO15" s="30">
        <f t="shared" si="147"/>
        <v>314055.947919</v>
      </c>
      <c r="AP15" s="30">
        <f t="shared" ref="AP15:AP54" si="148">SUM(AD15:AO15)</f>
        <v>3768671.3750279997</v>
      </c>
      <c r="AQ15" s="38"/>
      <c r="AR15" s="30">
        <f t="shared" ref="AR15:BC15" si="149">SUM(AR16:AR25)</f>
        <v>349544.27003384707</v>
      </c>
      <c r="AS15" s="30">
        <f t="shared" si="149"/>
        <v>349544.27003384707</v>
      </c>
      <c r="AT15" s="30">
        <f t="shared" si="149"/>
        <v>349544.27003384707</v>
      </c>
      <c r="AU15" s="30">
        <f t="shared" si="149"/>
        <v>349544.27003384707</v>
      </c>
      <c r="AV15" s="30">
        <f t="shared" si="149"/>
        <v>349544.27003384707</v>
      </c>
      <c r="AW15" s="30">
        <f t="shared" si="149"/>
        <v>349544.27003384707</v>
      </c>
      <c r="AX15" s="30">
        <f t="shared" si="149"/>
        <v>349544.27003384707</v>
      </c>
      <c r="AY15" s="30">
        <f t="shared" si="149"/>
        <v>349544.27003384707</v>
      </c>
      <c r="AZ15" s="30">
        <f t="shared" si="149"/>
        <v>349544.27003384707</v>
      </c>
      <c r="BA15" s="30">
        <f t="shared" si="149"/>
        <v>349544.27003384707</v>
      </c>
      <c r="BB15" s="30">
        <f t="shared" si="149"/>
        <v>349544.27003384707</v>
      </c>
      <c r="BC15" s="30">
        <f t="shared" si="149"/>
        <v>349544.27003384707</v>
      </c>
      <c r="BD15" s="30">
        <f t="shared" ref="BD15:BD54" si="150">SUM(AR15:BC15)</f>
        <v>4194531.2404061649</v>
      </c>
      <c r="BE15" s="38"/>
      <c r="BF15" s="30">
        <f t="shared" ref="BF15:BQ15" si="151">SUM(BF16:BF25)</f>
        <v>389042.77254767175</v>
      </c>
      <c r="BG15" s="30">
        <f t="shared" si="151"/>
        <v>389042.77254767175</v>
      </c>
      <c r="BH15" s="30">
        <f t="shared" si="151"/>
        <v>389042.77254767175</v>
      </c>
      <c r="BI15" s="30">
        <f t="shared" si="151"/>
        <v>389042.77254767175</v>
      </c>
      <c r="BJ15" s="30">
        <f t="shared" si="151"/>
        <v>389042.77254767175</v>
      </c>
      <c r="BK15" s="30">
        <f t="shared" si="151"/>
        <v>389042.77254767175</v>
      </c>
      <c r="BL15" s="30">
        <f t="shared" si="151"/>
        <v>389042.77254767175</v>
      </c>
      <c r="BM15" s="30">
        <f t="shared" si="151"/>
        <v>389042.77254767175</v>
      </c>
      <c r="BN15" s="30">
        <f t="shared" si="151"/>
        <v>389042.77254767175</v>
      </c>
      <c r="BO15" s="30">
        <f t="shared" si="151"/>
        <v>389042.77254767175</v>
      </c>
      <c r="BP15" s="30">
        <f t="shared" si="151"/>
        <v>389042.77254767175</v>
      </c>
      <c r="BQ15" s="30">
        <f t="shared" si="151"/>
        <v>389042.77254767175</v>
      </c>
      <c r="BR15" s="30">
        <f t="shared" ref="BR15:BR54" si="152">SUM(BF15:BQ15)</f>
        <v>4668513.2705720598</v>
      </c>
      <c r="BS15" s="38"/>
      <c r="BT15" s="30">
        <f t="shared" ref="BT15:CE15" si="153">SUM(BT16:BT25)</f>
        <v>433004.60584555875</v>
      </c>
      <c r="BU15" s="30">
        <f t="shared" si="153"/>
        <v>433004.60584555875</v>
      </c>
      <c r="BV15" s="30">
        <f t="shared" si="153"/>
        <v>433004.60584555875</v>
      </c>
      <c r="BW15" s="30">
        <f t="shared" si="153"/>
        <v>433004.60584555875</v>
      </c>
      <c r="BX15" s="30">
        <f t="shared" si="153"/>
        <v>433004.60584555875</v>
      </c>
      <c r="BY15" s="30">
        <f t="shared" si="153"/>
        <v>433004.60584555875</v>
      </c>
      <c r="BZ15" s="30">
        <f t="shared" si="153"/>
        <v>433004.60584555875</v>
      </c>
      <c r="CA15" s="30">
        <f t="shared" si="153"/>
        <v>433004.60584555875</v>
      </c>
      <c r="CB15" s="30">
        <f t="shared" si="153"/>
        <v>433004.60584555875</v>
      </c>
      <c r="CC15" s="30">
        <f t="shared" si="153"/>
        <v>433004.60584555875</v>
      </c>
      <c r="CD15" s="30">
        <f t="shared" si="153"/>
        <v>433004.60584555875</v>
      </c>
      <c r="CE15" s="30">
        <f t="shared" si="153"/>
        <v>433004.60584555875</v>
      </c>
      <c r="CF15" s="30">
        <f t="shared" ref="CF15:CF54" si="154">SUM(BT15:CE15)</f>
        <v>5196055.2701467052</v>
      </c>
      <c r="CG15" s="38"/>
      <c r="CH15" s="30">
        <f t="shared" ref="CH15:CS15" si="155">SUM(CH16:CH25)</f>
        <v>481934.12630610698</v>
      </c>
      <c r="CI15" s="30">
        <f t="shared" si="155"/>
        <v>481934.12630610698</v>
      </c>
      <c r="CJ15" s="30">
        <f t="shared" si="155"/>
        <v>481934.12630610698</v>
      </c>
      <c r="CK15" s="30">
        <f t="shared" si="155"/>
        <v>481934.12630610698</v>
      </c>
      <c r="CL15" s="30">
        <f t="shared" si="155"/>
        <v>481934.12630610698</v>
      </c>
      <c r="CM15" s="30">
        <f t="shared" si="155"/>
        <v>481934.12630610698</v>
      </c>
      <c r="CN15" s="30">
        <f t="shared" si="155"/>
        <v>481934.12630610698</v>
      </c>
      <c r="CO15" s="30">
        <f t="shared" si="155"/>
        <v>481934.12630610698</v>
      </c>
      <c r="CP15" s="30">
        <f t="shared" si="155"/>
        <v>481934.12630610698</v>
      </c>
      <c r="CQ15" s="30">
        <f t="shared" si="155"/>
        <v>481934.12630610698</v>
      </c>
      <c r="CR15" s="30">
        <f t="shared" si="155"/>
        <v>481934.12630610698</v>
      </c>
      <c r="CS15" s="30">
        <f t="shared" si="155"/>
        <v>481934.12630610698</v>
      </c>
      <c r="CT15" s="30">
        <f t="shared" ref="CT15:CT54" si="156">SUM(CH15:CS15)</f>
        <v>5783209.5156732844</v>
      </c>
      <c r="CU15" s="38"/>
      <c r="CV15" s="30">
        <f t="shared" ref="CV15:DG15" si="157">SUM(CV16:CV25)</f>
        <v>536392.68257869722</v>
      </c>
      <c r="CW15" s="30">
        <f t="shared" si="157"/>
        <v>536392.68257869722</v>
      </c>
      <c r="CX15" s="30">
        <f t="shared" si="157"/>
        <v>536392.68257869722</v>
      </c>
      <c r="CY15" s="30">
        <f t="shared" si="157"/>
        <v>536392.68257869722</v>
      </c>
      <c r="CZ15" s="30">
        <f t="shared" si="157"/>
        <v>536392.68257869722</v>
      </c>
      <c r="DA15" s="30">
        <f t="shared" si="157"/>
        <v>536392.68257869722</v>
      </c>
      <c r="DB15" s="30">
        <f t="shared" si="157"/>
        <v>536392.68257869722</v>
      </c>
      <c r="DC15" s="30">
        <f t="shared" si="157"/>
        <v>536392.68257869722</v>
      </c>
      <c r="DD15" s="30">
        <f t="shared" si="157"/>
        <v>536392.68257869722</v>
      </c>
      <c r="DE15" s="30">
        <f t="shared" si="157"/>
        <v>536392.68257869722</v>
      </c>
      <c r="DF15" s="30">
        <f t="shared" si="157"/>
        <v>536392.68257869722</v>
      </c>
      <c r="DG15" s="30">
        <f t="shared" si="157"/>
        <v>536392.68257869722</v>
      </c>
      <c r="DH15" s="30">
        <f t="shared" ref="DH15:DH54" si="158">SUM(CV15:DG15)</f>
        <v>6436712.1909443652</v>
      </c>
      <c r="DI15" s="38"/>
      <c r="DJ15" s="30">
        <f t="shared" ref="DJ15:DU15" si="159">SUM(DJ16:DJ25)</f>
        <v>597005.05571009009</v>
      </c>
      <c r="DK15" s="30">
        <f t="shared" si="159"/>
        <v>597005.05571009009</v>
      </c>
      <c r="DL15" s="30">
        <f t="shared" si="159"/>
        <v>597005.05571009009</v>
      </c>
      <c r="DM15" s="30">
        <f t="shared" si="159"/>
        <v>597005.05571009009</v>
      </c>
      <c r="DN15" s="30">
        <f t="shared" si="159"/>
        <v>597005.05571009009</v>
      </c>
      <c r="DO15" s="30">
        <f t="shared" si="159"/>
        <v>597005.05571009009</v>
      </c>
      <c r="DP15" s="30">
        <f t="shared" si="159"/>
        <v>597005.05571009009</v>
      </c>
      <c r="DQ15" s="30">
        <f t="shared" si="159"/>
        <v>597005.05571009009</v>
      </c>
      <c r="DR15" s="30">
        <f t="shared" si="159"/>
        <v>597005.05571009009</v>
      </c>
      <c r="DS15" s="30">
        <f t="shared" si="159"/>
        <v>597005.05571009009</v>
      </c>
      <c r="DT15" s="30">
        <f t="shared" si="159"/>
        <v>597005.05571009009</v>
      </c>
      <c r="DU15" s="30">
        <f t="shared" si="159"/>
        <v>597005.05571009009</v>
      </c>
      <c r="DV15" s="30">
        <f t="shared" ref="DV15:DV54" si="160">SUM(DJ15:DU15)</f>
        <v>7164060.668521083</v>
      </c>
      <c r="DW15" s="38"/>
      <c r="DX15" s="30">
        <f t="shared" ref="DX15:EI15" si="161">SUM(DX16:DX25)</f>
        <v>664466.62700533017</v>
      </c>
      <c r="DY15" s="30">
        <f t="shared" si="161"/>
        <v>664466.62700533017</v>
      </c>
      <c r="DZ15" s="30">
        <f t="shared" si="161"/>
        <v>664466.62700533017</v>
      </c>
      <c r="EA15" s="30">
        <f t="shared" si="161"/>
        <v>664466.62700533017</v>
      </c>
      <c r="EB15" s="30">
        <f t="shared" si="161"/>
        <v>664466.62700533017</v>
      </c>
      <c r="EC15" s="30">
        <f t="shared" si="161"/>
        <v>664466.62700533017</v>
      </c>
      <c r="ED15" s="30">
        <f t="shared" si="161"/>
        <v>664466.62700533017</v>
      </c>
      <c r="EE15" s="30">
        <f t="shared" si="161"/>
        <v>664466.62700533017</v>
      </c>
      <c r="EF15" s="30">
        <f t="shared" si="161"/>
        <v>664466.62700533017</v>
      </c>
      <c r="EG15" s="30">
        <f t="shared" si="161"/>
        <v>664466.62700533017</v>
      </c>
      <c r="EH15" s="30">
        <f t="shared" si="161"/>
        <v>664466.62700533017</v>
      </c>
      <c r="EI15" s="30">
        <f t="shared" si="161"/>
        <v>664466.62700533017</v>
      </c>
      <c r="EJ15" s="30">
        <f t="shared" ref="EJ15:EJ54" si="162">SUM(DX15:EI15)</f>
        <v>7973599.5240639625</v>
      </c>
    </row>
    <row r="16" spans="1:140">
      <c r="A16" s="8" t="s">
        <v>40</v>
      </c>
      <c r="B16" s="22">
        <f>(1.08*B7*75)</f>
        <v>119880</v>
      </c>
      <c r="C16" s="22">
        <f>B16*(1+C$3)</f>
        <v>119880</v>
      </c>
      <c r="D16" s="22">
        <f t="shared" ref="D16:M16" si="163">C16*(1+D$3)</f>
        <v>119880</v>
      </c>
      <c r="E16" s="22">
        <f t="shared" si="163"/>
        <v>119880</v>
      </c>
      <c r="F16" s="22">
        <f t="shared" si="163"/>
        <v>119880</v>
      </c>
      <c r="G16" s="22">
        <f t="shared" si="163"/>
        <v>119880</v>
      </c>
      <c r="H16" s="22">
        <f t="shared" si="163"/>
        <v>119880</v>
      </c>
      <c r="I16" s="22">
        <f t="shared" si="163"/>
        <v>119880</v>
      </c>
      <c r="J16" s="22">
        <f t="shared" si="163"/>
        <v>119880</v>
      </c>
      <c r="K16" s="22">
        <f t="shared" si="163"/>
        <v>119880</v>
      </c>
      <c r="L16" s="22">
        <f t="shared" si="163"/>
        <v>119880</v>
      </c>
      <c r="M16" s="22">
        <f t="shared" si="163"/>
        <v>119880</v>
      </c>
      <c r="N16" s="30">
        <f t="shared" si="144"/>
        <v>1438560</v>
      </c>
      <c r="O16" s="38">
        <v>1</v>
      </c>
      <c r="P16" s="22">
        <f>$O16*B16*(1+$P$3)*(1+$P$4)</f>
        <v>132119.74800000002</v>
      </c>
      <c r="Q16" s="22">
        <f t="shared" ref="Q16:AA25" si="164">$O16*C16*(1+$P$3)*(1+$P$4)</f>
        <v>132119.74800000002</v>
      </c>
      <c r="R16" s="22">
        <f t="shared" si="164"/>
        <v>132119.74800000002</v>
      </c>
      <c r="S16" s="22">
        <f t="shared" si="164"/>
        <v>132119.74800000002</v>
      </c>
      <c r="T16" s="22">
        <f t="shared" si="164"/>
        <v>132119.74800000002</v>
      </c>
      <c r="U16" s="22">
        <f t="shared" si="164"/>
        <v>132119.74800000002</v>
      </c>
      <c r="V16" s="22">
        <f t="shared" si="164"/>
        <v>132119.74800000002</v>
      </c>
      <c r="W16" s="22">
        <f t="shared" si="164"/>
        <v>132119.74800000002</v>
      </c>
      <c r="X16" s="22">
        <f t="shared" si="164"/>
        <v>132119.74800000002</v>
      </c>
      <c r="Y16" s="22">
        <f t="shared" si="164"/>
        <v>132119.74800000002</v>
      </c>
      <c r="Z16" s="22">
        <f t="shared" si="164"/>
        <v>132119.74800000002</v>
      </c>
      <c r="AA16" s="22">
        <f t="shared" si="164"/>
        <v>132119.74800000002</v>
      </c>
      <c r="AB16" s="30">
        <f t="shared" si="146"/>
        <v>1585436.9760000007</v>
      </c>
      <c r="AC16" s="38">
        <v>1</v>
      </c>
      <c r="AD16" s="22">
        <f>$AC16*P16*(1+$AD$3)*(1+$AD$4)</f>
        <v>147049.27952400004</v>
      </c>
      <c r="AE16" s="22">
        <f t="shared" ref="AE16:AO25" si="165">$AC16*Q16*(1+$AD$3)*(1+$AD$4)</f>
        <v>147049.27952400004</v>
      </c>
      <c r="AF16" s="22">
        <f t="shared" si="165"/>
        <v>147049.27952400004</v>
      </c>
      <c r="AG16" s="22">
        <f t="shared" si="165"/>
        <v>147049.27952400004</v>
      </c>
      <c r="AH16" s="22">
        <f t="shared" si="165"/>
        <v>147049.27952400004</v>
      </c>
      <c r="AI16" s="22">
        <f t="shared" si="165"/>
        <v>147049.27952400004</v>
      </c>
      <c r="AJ16" s="22">
        <f t="shared" si="165"/>
        <v>147049.27952400004</v>
      </c>
      <c r="AK16" s="22">
        <f t="shared" si="165"/>
        <v>147049.27952400004</v>
      </c>
      <c r="AL16" s="22">
        <f t="shared" si="165"/>
        <v>147049.27952400004</v>
      </c>
      <c r="AM16" s="22">
        <f t="shared" si="165"/>
        <v>147049.27952400004</v>
      </c>
      <c r="AN16" s="22">
        <f t="shared" si="165"/>
        <v>147049.27952400004</v>
      </c>
      <c r="AO16" s="22">
        <f t="shared" si="165"/>
        <v>147049.27952400004</v>
      </c>
      <c r="AP16" s="30">
        <f t="shared" si="148"/>
        <v>1764591.3542880008</v>
      </c>
      <c r="AQ16" s="38">
        <v>1</v>
      </c>
      <c r="AR16" s="22">
        <f>$AQ16*AD16*(1+$AR$3)*(1+$AR$4)</f>
        <v>163665.84811021204</v>
      </c>
      <c r="AS16" s="22">
        <f t="shared" ref="AS16:BC25" si="166">$AQ16*AE16*(1+$AR$3)*(1+$AR$4)</f>
        <v>163665.84811021204</v>
      </c>
      <c r="AT16" s="22">
        <f t="shared" si="166"/>
        <v>163665.84811021204</v>
      </c>
      <c r="AU16" s="22">
        <f t="shared" si="166"/>
        <v>163665.84811021204</v>
      </c>
      <c r="AV16" s="22">
        <f t="shared" si="166"/>
        <v>163665.84811021204</v>
      </c>
      <c r="AW16" s="22">
        <f t="shared" si="166"/>
        <v>163665.84811021204</v>
      </c>
      <c r="AX16" s="22">
        <f t="shared" si="166"/>
        <v>163665.84811021204</v>
      </c>
      <c r="AY16" s="22">
        <f t="shared" si="166"/>
        <v>163665.84811021204</v>
      </c>
      <c r="AZ16" s="22">
        <f t="shared" si="166"/>
        <v>163665.84811021204</v>
      </c>
      <c r="BA16" s="22">
        <f t="shared" si="166"/>
        <v>163665.84811021204</v>
      </c>
      <c r="BB16" s="22">
        <f t="shared" si="166"/>
        <v>163665.84811021204</v>
      </c>
      <c r="BC16" s="22">
        <f t="shared" si="166"/>
        <v>163665.84811021204</v>
      </c>
      <c r="BD16" s="30">
        <f t="shared" si="150"/>
        <v>1963990.1773225444</v>
      </c>
      <c r="BE16" s="38">
        <v>1</v>
      </c>
      <c r="BF16" s="22">
        <f>$BE16*AR16*(1+$BF$3)*(1+$BF$4)</f>
        <v>182160.08894666602</v>
      </c>
      <c r="BG16" s="22">
        <f t="shared" ref="BG16:BQ25" si="167">$BE16*AS16*(1+$BF$3)*(1+$BF$4)</f>
        <v>182160.08894666602</v>
      </c>
      <c r="BH16" s="22">
        <f t="shared" si="167"/>
        <v>182160.08894666602</v>
      </c>
      <c r="BI16" s="22">
        <f t="shared" si="167"/>
        <v>182160.08894666602</v>
      </c>
      <c r="BJ16" s="22">
        <f t="shared" si="167"/>
        <v>182160.08894666602</v>
      </c>
      <c r="BK16" s="22">
        <f t="shared" si="167"/>
        <v>182160.08894666602</v>
      </c>
      <c r="BL16" s="22">
        <f t="shared" si="167"/>
        <v>182160.08894666602</v>
      </c>
      <c r="BM16" s="22">
        <f t="shared" si="167"/>
        <v>182160.08894666602</v>
      </c>
      <c r="BN16" s="22">
        <f t="shared" si="167"/>
        <v>182160.08894666602</v>
      </c>
      <c r="BO16" s="22">
        <f t="shared" si="167"/>
        <v>182160.08894666602</v>
      </c>
      <c r="BP16" s="22">
        <f t="shared" si="167"/>
        <v>182160.08894666602</v>
      </c>
      <c r="BQ16" s="22">
        <f t="shared" si="167"/>
        <v>182160.08894666602</v>
      </c>
      <c r="BR16" s="30">
        <f t="shared" si="152"/>
        <v>2185921.0673599928</v>
      </c>
      <c r="BS16" s="38">
        <v>1</v>
      </c>
      <c r="BT16" s="22">
        <f>$BS16*BF16*(1+$BT$3)*(1+$BT$4)</f>
        <v>202744.1789976393</v>
      </c>
      <c r="BU16" s="22">
        <f t="shared" ref="BU16:CE25" si="168">$BS16*BG16*(1+$BT$3)*(1+$BT$4)</f>
        <v>202744.1789976393</v>
      </c>
      <c r="BV16" s="22">
        <f t="shared" si="168"/>
        <v>202744.1789976393</v>
      </c>
      <c r="BW16" s="22">
        <f t="shared" si="168"/>
        <v>202744.1789976393</v>
      </c>
      <c r="BX16" s="22">
        <f t="shared" si="168"/>
        <v>202744.1789976393</v>
      </c>
      <c r="BY16" s="22">
        <f t="shared" si="168"/>
        <v>202744.1789976393</v>
      </c>
      <c r="BZ16" s="22">
        <f t="shared" si="168"/>
        <v>202744.1789976393</v>
      </c>
      <c r="CA16" s="22">
        <f t="shared" si="168"/>
        <v>202744.1789976393</v>
      </c>
      <c r="CB16" s="22">
        <f t="shared" si="168"/>
        <v>202744.1789976393</v>
      </c>
      <c r="CC16" s="22">
        <f t="shared" si="168"/>
        <v>202744.1789976393</v>
      </c>
      <c r="CD16" s="22">
        <f t="shared" si="168"/>
        <v>202744.1789976393</v>
      </c>
      <c r="CE16" s="22">
        <f t="shared" si="168"/>
        <v>202744.1789976393</v>
      </c>
      <c r="CF16" s="30">
        <f t="shared" si="154"/>
        <v>2432930.1479716715</v>
      </c>
      <c r="CG16" s="38">
        <v>1</v>
      </c>
      <c r="CH16" s="22">
        <f>$CG16*BT16*(1+$CH$3)*(1+$CH$4)</f>
        <v>225654.27122437258</v>
      </c>
      <c r="CI16" s="22">
        <f t="shared" ref="CI16:CS25" si="169">$CG16*BU16*(1+$CH$3)*(1+$CH$4)</f>
        <v>225654.27122437258</v>
      </c>
      <c r="CJ16" s="22">
        <f t="shared" si="169"/>
        <v>225654.27122437258</v>
      </c>
      <c r="CK16" s="22">
        <f t="shared" si="169"/>
        <v>225654.27122437258</v>
      </c>
      <c r="CL16" s="22">
        <f t="shared" si="169"/>
        <v>225654.27122437258</v>
      </c>
      <c r="CM16" s="22">
        <f t="shared" si="169"/>
        <v>225654.27122437258</v>
      </c>
      <c r="CN16" s="22">
        <f t="shared" si="169"/>
        <v>225654.27122437258</v>
      </c>
      <c r="CO16" s="22">
        <f t="shared" si="169"/>
        <v>225654.27122437258</v>
      </c>
      <c r="CP16" s="22">
        <f t="shared" si="169"/>
        <v>225654.27122437258</v>
      </c>
      <c r="CQ16" s="22">
        <f t="shared" si="169"/>
        <v>225654.27122437258</v>
      </c>
      <c r="CR16" s="22">
        <f t="shared" si="169"/>
        <v>225654.27122437258</v>
      </c>
      <c r="CS16" s="22">
        <f t="shared" si="169"/>
        <v>225654.27122437258</v>
      </c>
      <c r="CT16" s="30">
        <f t="shared" si="156"/>
        <v>2707851.2546924711</v>
      </c>
      <c r="CU16" s="38">
        <v>1</v>
      </c>
      <c r="CV16" s="22">
        <f>$CU16*CH16*(1+$CV$3)*(1+$CV$4)</f>
        <v>251153.20387272671</v>
      </c>
      <c r="CW16" s="22">
        <f t="shared" ref="CW16:DG25" si="170">$CU16*CI16*(1+$CV$3)*(1+$CV$4)</f>
        <v>251153.20387272671</v>
      </c>
      <c r="CX16" s="22">
        <f t="shared" si="170"/>
        <v>251153.20387272671</v>
      </c>
      <c r="CY16" s="22">
        <f t="shared" si="170"/>
        <v>251153.20387272671</v>
      </c>
      <c r="CZ16" s="22">
        <f t="shared" si="170"/>
        <v>251153.20387272671</v>
      </c>
      <c r="DA16" s="22">
        <f t="shared" si="170"/>
        <v>251153.20387272671</v>
      </c>
      <c r="DB16" s="22">
        <f t="shared" si="170"/>
        <v>251153.20387272671</v>
      </c>
      <c r="DC16" s="22">
        <f t="shared" si="170"/>
        <v>251153.20387272671</v>
      </c>
      <c r="DD16" s="22">
        <f t="shared" si="170"/>
        <v>251153.20387272671</v>
      </c>
      <c r="DE16" s="22">
        <f t="shared" si="170"/>
        <v>251153.20387272671</v>
      </c>
      <c r="DF16" s="22">
        <f t="shared" si="170"/>
        <v>251153.20387272671</v>
      </c>
      <c r="DG16" s="22">
        <f t="shared" si="170"/>
        <v>251153.20387272671</v>
      </c>
      <c r="DH16" s="30">
        <f t="shared" si="158"/>
        <v>3013838.4464727207</v>
      </c>
      <c r="DI16" s="38">
        <v>1</v>
      </c>
      <c r="DJ16" s="22">
        <f>$DI16*CV16*(1+$DJ$3)*(1+$DJ$4)</f>
        <v>279533.5159103449</v>
      </c>
      <c r="DK16" s="22">
        <f t="shared" ref="DK16:DU25" si="171">$DI16*CW16*(1+$DJ$3)*(1+$DJ$4)</f>
        <v>279533.5159103449</v>
      </c>
      <c r="DL16" s="22">
        <f t="shared" si="171"/>
        <v>279533.5159103449</v>
      </c>
      <c r="DM16" s="22">
        <f t="shared" si="171"/>
        <v>279533.5159103449</v>
      </c>
      <c r="DN16" s="22">
        <f t="shared" si="171"/>
        <v>279533.5159103449</v>
      </c>
      <c r="DO16" s="22">
        <f t="shared" si="171"/>
        <v>279533.5159103449</v>
      </c>
      <c r="DP16" s="22">
        <f t="shared" si="171"/>
        <v>279533.5159103449</v>
      </c>
      <c r="DQ16" s="22">
        <f t="shared" si="171"/>
        <v>279533.5159103449</v>
      </c>
      <c r="DR16" s="22">
        <f t="shared" si="171"/>
        <v>279533.5159103449</v>
      </c>
      <c r="DS16" s="22">
        <f t="shared" si="171"/>
        <v>279533.5159103449</v>
      </c>
      <c r="DT16" s="22">
        <f t="shared" si="171"/>
        <v>279533.5159103449</v>
      </c>
      <c r="DU16" s="22">
        <f t="shared" si="171"/>
        <v>279533.5159103449</v>
      </c>
      <c r="DV16" s="30">
        <f t="shared" si="160"/>
        <v>3354402.1909241397</v>
      </c>
      <c r="DW16" s="38">
        <v>1</v>
      </c>
      <c r="DX16" s="22">
        <f>$DW16*DJ16*(1+$DX$3)*(1+$DX$4)</f>
        <v>311120.80320821394</v>
      </c>
      <c r="DY16" s="22">
        <f t="shared" ref="DY16:EI25" si="172">$DW16*DK16*(1+$DX$3)*(1+$DX$4)</f>
        <v>311120.80320821394</v>
      </c>
      <c r="DZ16" s="22">
        <f t="shared" si="172"/>
        <v>311120.80320821394</v>
      </c>
      <c r="EA16" s="22">
        <f t="shared" si="172"/>
        <v>311120.80320821394</v>
      </c>
      <c r="EB16" s="22">
        <f t="shared" si="172"/>
        <v>311120.80320821394</v>
      </c>
      <c r="EC16" s="22">
        <f t="shared" si="172"/>
        <v>311120.80320821394</v>
      </c>
      <c r="ED16" s="22">
        <f t="shared" si="172"/>
        <v>311120.80320821394</v>
      </c>
      <c r="EE16" s="22">
        <f t="shared" si="172"/>
        <v>311120.80320821394</v>
      </c>
      <c r="EF16" s="22">
        <f t="shared" si="172"/>
        <v>311120.80320821394</v>
      </c>
      <c r="EG16" s="22">
        <f t="shared" si="172"/>
        <v>311120.80320821394</v>
      </c>
      <c r="EH16" s="22">
        <f t="shared" si="172"/>
        <v>311120.80320821394</v>
      </c>
      <c r="EI16" s="22">
        <f t="shared" si="172"/>
        <v>311120.80320821394</v>
      </c>
      <c r="EJ16" s="30">
        <f t="shared" si="162"/>
        <v>3733449.6384985666</v>
      </c>
    </row>
    <row r="17" spans="1:140">
      <c r="A17" s="8" t="s">
        <v>229</v>
      </c>
      <c r="B17" s="22">
        <f>B7*100*0.9</f>
        <v>133200</v>
      </c>
      <c r="C17" s="22">
        <f t="shared" ref="C17:M29" si="173">B17*(1+C$3)</f>
        <v>133200</v>
      </c>
      <c r="D17" s="22">
        <f t="shared" si="173"/>
        <v>133200</v>
      </c>
      <c r="E17" s="22">
        <f t="shared" si="173"/>
        <v>133200</v>
      </c>
      <c r="F17" s="22">
        <f t="shared" si="173"/>
        <v>133200</v>
      </c>
      <c r="G17" s="22">
        <f t="shared" si="173"/>
        <v>133200</v>
      </c>
      <c r="H17" s="22">
        <f t="shared" si="173"/>
        <v>133200</v>
      </c>
      <c r="I17" s="22">
        <f t="shared" si="173"/>
        <v>133200</v>
      </c>
      <c r="J17" s="22">
        <f t="shared" si="173"/>
        <v>133200</v>
      </c>
      <c r="K17" s="22">
        <f t="shared" si="173"/>
        <v>133200</v>
      </c>
      <c r="L17" s="22">
        <f t="shared" si="173"/>
        <v>133200</v>
      </c>
      <c r="M17" s="22">
        <f t="shared" si="173"/>
        <v>133200</v>
      </c>
      <c r="N17" s="30">
        <f t="shared" si="144"/>
        <v>1598400</v>
      </c>
      <c r="O17" s="38">
        <v>1</v>
      </c>
      <c r="P17" s="22">
        <f t="shared" ref="P17:P25" si="174">$O17*B17*(1+$P$3)*(1+$P$4)</f>
        <v>146799.72</v>
      </c>
      <c r="Q17" s="22">
        <f t="shared" si="164"/>
        <v>146799.72</v>
      </c>
      <c r="R17" s="22">
        <f t="shared" si="164"/>
        <v>146799.72</v>
      </c>
      <c r="S17" s="22">
        <f t="shared" si="164"/>
        <v>146799.72</v>
      </c>
      <c r="T17" s="22">
        <f t="shared" si="164"/>
        <v>146799.72</v>
      </c>
      <c r="U17" s="22">
        <f t="shared" si="164"/>
        <v>146799.72</v>
      </c>
      <c r="V17" s="22">
        <f t="shared" si="164"/>
        <v>146799.72</v>
      </c>
      <c r="W17" s="22">
        <f t="shared" si="164"/>
        <v>146799.72</v>
      </c>
      <c r="X17" s="22">
        <f t="shared" si="164"/>
        <v>146799.72</v>
      </c>
      <c r="Y17" s="22">
        <f t="shared" si="164"/>
        <v>146799.72</v>
      </c>
      <c r="Z17" s="22">
        <f t="shared" si="164"/>
        <v>146799.72</v>
      </c>
      <c r="AA17" s="22">
        <f t="shared" si="164"/>
        <v>146799.72</v>
      </c>
      <c r="AB17" s="30">
        <f t="shared" si="146"/>
        <v>1761596.64</v>
      </c>
      <c r="AC17" s="38">
        <v>1</v>
      </c>
      <c r="AD17" s="22">
        <f t="shared" ref="AD17:AD25" si="175">$AC17*P17*(1+$AD$3)*(1+$AD$4)</f>
        <v>163388.08836000002</v>
      </c>
      <c r="AE17" s="22">
        <f t="shared" si="165"/>
        <v>163388.08836000002</v>
      </c>
      <c r="AF17" s="22">
        <f t="shared" si="165"/>
        <v>163388.08836000002</v>
      </c>
      <c r="AG17" s="22">
        <f t="shared" si="165"/>
        <v>163388.08836000002</v>
      </c>
      <c r="AH17" s="22">
        <f t="shared" si="165"/>
        <v>163388.08836000002</v>
      </c>
      <c r="AI17" s="22">
        <f t="shared" si="165"/>
        <v>163388.08836000002</v>
      </c>
      <c r="AJ17" s="22">
        <f t="shared" si="165"/>
        <v>163388.08836000002</v>
      </c>
      <c r="AK17" s="22">
        <f t="shared" si="165"/>
        <v>163388.08836000002</v>
      </c>
      <c r="AL17" s="22">
        <f t="shared" si="165"/>
        <v>163388.08836000002</v>
      </c>
      <c r="AM17" s="22">
        <f t="shared" si="165"/>
        <v>163388.08836000002</v>
      </c>
      <c r="AN17" s="22">
        <f t="shared" si="165"/>
        <v>163388.08836000002</v>
      </c>
      <c r="AO17" s="22">
        <f t="shared" si="165"/>
        <v>163388.08836000002</v>
      </c>
      <c r="AP17" s="30">
        <f t="shared" si="148"/>
        <v>1960657.0603199999</v>
      </c>
      <c r="AQ17" s="38">
        <v>1</v>
      </c>
      <c r="AR17" s="22">
        <f t="shared" ref="AR17:AR25" si="176">$AQ17*AD17*(1+$AR$3)*(1+$AR$4)</f>
        <v>181850.94234468005</v>
      </c>
      <c r="AS17" s="22">
        <f t="shared" si="166"/>
        <v>181850.94234468005</v>
      </c>
      <c r="AT17" s="22">
        <f t="shared" si="166"/>
        <v>181850.94234468005</v>
      </c>
      <c r="AU17" s="22">
        <f t="shared" si="166"/>
        <v>181850.94234468005</v>
      </c>
      <c r="AV17" s="22">
        <f t="shared" si="166"/>
        <v>181850.94234468005</v>
      </c>
      <c r="AW17" s="22">
        <f t="shared" si="166"/>
        <v>181850.94234468005</v>
      </c>
      <c r="AX17" s="22">
        <f t="shared" si="166"/>
        <v>181850.94234468005</v>
      </c>
      <c r="AY17" s="22">
        <f t="shared" si="166"/>
        <v>181850.94234468005</v>
      </c>
      <c r="AZ17" s="22">
        <f t="shared" si="166"/>
        <v>181850.94234468005</v>
      </c>
      <c r="BA17" s="22">
        <f t="shared" si="166"/>
        <v>181850.94234468005</v>
      </c>
      <c r="BB17" s="22">
        <f t="shared" si="166"/>
        <v>181850.94234468005</v>
      </c>
      <c r="BC17" s="22">
        <f t="shared" si="166"/>
        <v>181850.94234468005</v>
      </c>
      <c r="BD17" s="30">
        <f t="shared" si="150"/>
        <v>2182211.30813616</v>
      </c>
      <c r="BE17" s="38">
        <v>1</v>
      </c>
      <c r="BF17" s="22">
        <f t="shared" ref="BF17:BF25" si="177">$BE17*AR17*(1+$BF$3)*(1+$BF$4)</f>
        <v>202400.0988296289</v>
      </c>
      <c r="BG17" s="22">
        <f t="shared" si="167"/>
        <v>202400.0988296289</v>
      </c>
      <c r="BH17" s="22">
        <f t="shared" si="167"/>
        <v>202400.0988296289</v>
      </c>
      <c r="BI17" s="22">
        <f t="shared" si="167"/>
        <v>202400.0988296289</v>
      </c>
      <c r="BJ17" s="22">
        <f t="shared" si="167"/>
        <v>202400.0988296289</v>
      </c>
      <c r="BK17" s="22">
        <f t="shared" si="167"/>
        <v>202400.0988296289</v>
      </c>
      <c r="BL17" s="22">
        <f t="shared" si="167"/>
        <v>202400.0988296289</v>
      </c>
      <c r="BM17" s="22">
        <f t="shared" si="167"/>
        <v>202400.0988296289</v>
      </c>
      <c r="BN17" s="22">
        <f t="shared" si="167"/>
        <v>202400.0988296289</v>
      </c>
      <c r="BO17" s="22">
        <f t="shared" si="167"/>
        <v>202400.0988296289</v>
      </c>
      <c r="BP17" s="22">
        <f t="shared" si="167"/>
        <v>202400.0988296289</v>
      </c>
      <c r="BQ17" s="22">
        <f t="shared" si="167"/>
        <v>202400.0988296289</v>
      </c>
      <c r="BR17" s="30">
        <f t="shared" si="152"/>
        <v>2428801.1859555468</v>
      </c>
      <c r="BS17" s="38">
        <v>1</v>
      </c>
      <c r="BT17" s="22">
        <f t="shared" ref="BT17:BT25" si="178">$BS17*BF17*(1+$BT$3)*(1+$BT$4)</f>
        <v>225271.30999737699</v>
      </c>
      <c r="BU17" s="22">
        <f t="shared" si="168"/>
        <v>225271.30999737699</v>
      </c>
      <c r="BV17" s="22">
        <f t="shared" si="168"/>
        <v>225271.30999737699</v>
      </c>
      <c r="BW17" s="22">
        <f t="shared" si="168"/>
        <v>225271.30999737699</v>
      </c>
      <c r="BX17" s="22">
        <f t="shared" si="168"/>
        <v>225271.30999737699</v>
      </c>
      <c r="BY17" s="22">
        <f t="shared" si="168"/>
        <v>225271.30999737699</v>
      </c>
      <c r="BZ17" s="22">
        <f t="shared" si="168"/>
        <v>225271.30999737699</v>
      </c>
      <c r="CA17" s="22">
        <f t="shared" si="168"/>
        <v>225271.30999737699</v>
      </c>
      <c r="CB17" s="22">
        <f t="shared" si="168"/>
        <v>225271.30999737699</v>
      </c>
      <c r="CC17" s="22">
        <f t="shared" si="168"/>
        <v>225271.30999737699</v>
      </c>
      <c r="CD17" s="22">
        <f t="shared" si="168"/>
        <v>225271.30999737699</v>
      </c>
      <c r="CE17" s="22">
        <f t="shared" si="168"/>
        <v>225271.30999737699</v>
      </c>
      <c r="CF17" s="30">
        <f t="shared" si="154"/>
        <v>2703255.7199685238</v>
      </c>
      <c r="CG17" s="38">
        <v>1</v>
      </c>
      <c r="CH17" s="22">
        <f t="shared" ref="CH17:CH25" si="179">$CG17*BT17*(1+$CH$3)*(1+$CH$4)</f>
        <v>250726.96802708061</v>
      </c>
      <c r="CI17" s="22">
        <f t="shared" si="169"/>
        <v>250726.96802708061</v>
      </c>
      <c r="CJ17" s="22">
        <f t="shared" si="169"/>
        <v>250726.96802708061</v>
      </c>
      <c r="CK17" s="22">
        <f t="shared" si="169"/>
        <v>250726.96802708061</v>
      </c>
      <c r="CL17" s="22">
        <f t="shared" si="169"/>
        <v>250726.96802708061</v>
      </c>
      <c r="CM17" s="22">
        <f t="shared" si="169"/>
        <v>250726.96802708061</v>
      </c>
      <c r="CN17" s="22">
        <f t="shared" si="169"/>
        <v>250726.96802708061</v>
      </c>
      <c r="CO17" s="22">
        <f t="shared" si="169"/>
        <v>250726.96802708061</v>
      </c>
      <c r="CP17" s="22">
        <f t="shared" si="169"/>
        <v>250726.96802708061</v>
      </c>
      <c r="CQ17" s="22">
        <f t="shared" si="169"/>
        <v>250726.96802708061</v>
      </c>
      <c r="CR17" s="22">
        <f t="shared" si="169"/>
        <v>250726.96802708061</v>
      </c>
      <c r="CS17" s="22">
        <f t="shared" si="169"/>
        <v>250726.96802708061</v>
      </c>
      <c r="CT17" s="30">
        <f t="shared" si="156"/>
        <v>3008723.6163249668</v>
      </c>
      <c r="CU17" s="38">
        <v>1</v>
      </c>
      <c r="CV17" s="22">
        <f t="shared" ref="CV17:CV25" si="180">$CU17*CH17*(1+$CV$3)*(1+$CV$4)</f>
        <v>279059.11541414075</v>
      </c>
      <c r="CW17" s="22">
        <f t="shared" si="170"/>
        <v>279059.11541414075</v>
      </c>
      <c r="CX17" s="22">
        <f t="shared" si="170"/>
        <v>279059.11541414075</v>
      </c>
      <c r="CY17" s="22">
        <f t="shared" si="170"/>
        <v>279059.11541414075</v>
      </c>
      <c r="CZ17" s="22">
        <f t="shared" si="170"/>
        <v>279059.11541414075</v>
      </c>
      <c r="DA17" s="22">
        <f t="shared" si="170"/>
        <v>279059.11541414075</v>
      </c>
      <c r="DB17" s="22">
        <f t="shared" si="170"/>
        <v>279059.11541414075</v>
      </c>
      <c r="DC17" s="22">
        <f t="shared" si="170"/>
        <v>279059.11541414075</v>
      </c>
      <c r="DD17" s="22">
        <f t="shared" si="170"/>
        <v>279059.11541414075</v>
      </c>
      <c r="DE17" s="22">
        <f t="shared" si="170"/>
        <v>279059.11541414075</v>
      </c>
      <c r="DF17" s="22">
        <f t="shared" si="170"/>
        <v>279059.11541414075</v>
      </c>
      <c r="DG17" s="22">
        <f t="shared" si="170"/>
        <v>279059.11541414075</v>
      </c>
      <c r="DH17" s="30">
        <f t="shared" si="158"/>
        <v>3348709.384969689</v>
      </c>
      <c r="DI17" s="38">
        <v>1</v>
      </c>
      <c r="DJ17" s="22">
        <f t="shared" ref="DJ17:DJ25" si="181">$DI17*CV17*(1+$DJ$3)*(1+$DJ$4)</f>
        <v>310592.79545593867</v>
      </c>
      <c r="DK17" s="22">
        <f t="shared" si="171"/>
        <v>310592.79545593867</v>
      </c>
      <c r="DL17" s="22">
        <f t="shared" si="171"/>
        <v>310592.79545593867</v>
      </c>
      <c r="DM17" s="22">
        <f t="shared" si="171"/>
        <v>310592.79545593867</v>
      </c>
      <c r="DN17" s="22">
        <f t="shared" si="171"/>
        <v>310592.79545593867</v>
      </c>
      <c r="DO17" s="22">
        <f t="shared" si="171"/>
        <v>310592.79545593867</v>
      </c>
      <c r="DP17" s="22">
        <f t="shared" si="171"/>
        <v>310592.79545593867</v>
      </c>
      <c r="DQ17" s="22">
        <f t="shared" si="171"/>
        <v>310592.79545593867</v>
      </c>
      <c r="DR17" s="22">
        <f t="shared" si="171"/>
        <v>310592.79545593867</v>
      </c>
      <c r="DS17" s="22">
        <f t="shared" si="171"/>
        <v>310592.79545593867</v>
      </c>
      <c r="DT17" s="22">
        <f t="shared" si="171"/>
        <v>310592.79545593867</v>
      </c>
      <c r="DU17" s="22">
        <f t="shared" si="171"/>
        <v>310592.79545593867</v>
      </c>
      <c r="DV17" s="30">
        <f t="shared" si="160"/>
        <v>3727113.545471264</v>
      </c>
      <c r="DW17" s="38">
        <v>1</v>
      </c>
      <c r="DX17" s="22">
        <f t="shared" ref="DX17:DX25" si="182">$DW17*DJ17*(1+$DX$3)*(1+$DX$4)</f>
        <v>345689.78134245978</v>
      </c>
      <c r="DY17" s="22">
        <f t="shared" si="172"/>
        <v>345689.78134245978</v>
      </c>
      <c r="DZ17" s="22">
        <f t="shared" si="172"/>
        <v>345689.78134245978</v>
      </c>
      <c r="EA17" s="22">
        <f t="shared" si="172"/>
        <v>345689.78134245978</v>
      </c>
      <c r="EB17" s="22">
        <f t="shared" si="172"/>
        <v>345689.78134245978</v>
      </c>
      <c r="EC17" s="22">
        <f t="shared" si="172"/>
        <v>345689.78134245978</v>
      </c>
      <c r="ED17" s="22">
        <f t="shared" si="172"/>
        <v>345689.78134245978</v>
      </c>
      <c r="EE17" s="22">
        <f t="shared" si="172"/>
        <v>345689.78134245978</v>
      </c>
      <c r="EF17" s="22">
        <f t="shared" si="172"/>
        <v>345689.78134245978</v>
      </c>
      <c r="EG17" s="22">
        <f t="shared" si="172"/>
        <v>345689.78134245978</v>
      </c>
      <c r="EH17" s="22">
        <f t="shared" si="172"/>
        <v>345689.78134245978</v>
      </c>
      <c r="EI17" s="22">
        <f t="shared" si="172"/>
        <v>345689.78134245978</v>
      </c>
      <c r="EJ17" s="30">
        <f t="shared" si="162"/>
        <v>4148277.3761095176</v>
      </c>
    </row>
    <row r="18" spans="1:140">
      <c r="A18" s="8" t="s">
        <v>230</v>
      </c>
      <c r="B18" s="22">
        <v>800</v>
      </c>
      <c r="C18" s="22">
        <f t="shared" si="173"/>
        <v>800</v>
      </c>
      <c r="D18" s="22">
        <f t="shared" si="173"/>
        <v>800</v>
      </c>
      <c r="E18" s="22">
        <f t="shared" si="173"/>
        <v>800</v>
      </c>
      <c r="F18" s="22">
        <f t="shared" si="173"/>
        <v>800</v>
      </c>
      <c r="G18" s="22">
        <f t="shared" si="173"/>
        <v>800</v>
      </c>
      <c r="H18" s="22">
        <f t="shared" si="173"/>
        <v>800</v>
      </c>
      <c r="I18" s="22">
        <f t="shared" si="173"/>
        <v>800</v>
      </c>
      <c r="J18" s="22">
        <f t="shared" si="173"/>
        <v>800</v>
      </c>
      <c r="K18" s="22">
        <f t="shared" si="173"/>
        <v>800</v>
      </c>
      <c r="L18" s="22">
        <f t="shared" si="173"/>
        <v>800</v>
      </c>
      <c r="M18" s="22">
        <f t="shared" si="173"/>
        <v>800</v>
      </c>
      <c r="N18" s="30">
        <f t="shared" si="144"/>
        <v>9600</v>
      </c>
      <c r="O18" s="38">
        <v>1</v>
      </c>
      <c r="P18" s="22">
        <f t="shared" si="174"/>
        <v>881.68000000000006</v>
      </c>
      <c r="Q18" s="22">
        <f t="shared" si="164"/>
        <v>881.68000000000006</v>
      </c>
      <c r="R18" s="22">
        <f t="shared" si="164"/>
        <v>881.68000000000006</v>
      </c>
      <c r="S18" s="22">
        <f t="shared" si="164"/>
        <v>881.68000000000006</v>
      </c>
      <c r="T18" s="22">
        <f t="shared" si="164"/>
        <v>881.68000000000006</v>
      </c>
      <c r="U18" s="22">
        <f t="shared" si="164"/>
        <v>881.68000000000006</v>
      </c>
      <c r="V18" s="22">
        <f t="shared" si="164"/>
        <v>881.68000000000006</v>
      </c>
      <c r="W18" s="22">
        <f t="shared" si="164"/>
        <v>881.68000000000006</v>
      </c>
      <c r="X18" s="22">
        <f t="shared" si="164"/>
        <v>881.68000000000006</v>
      </c>
      <c r="Y18" s="22">
        <f t="shared" si="164"/>
        <v>881.68000000000006</v>
      </c>
      <c r="Z18" s="22">
        <f t="shared" si="164"/>
        <v>881.68000000000006</v>
      </c>
      <c r="AA18" s="22">
        <f t="shared" si="164"/>
        <v>881.68000000000006</v>
      </c>
      <c r="AB18" s="30">
        <f t="shared" si="146"/>
        <v>10580.160000000002</v>
      </c>
      <c r="AC18" s="38">
        <v>1</v>
      </c>
      <c r="AD18" s="22">
        <f t="shared" si="175"/>
        <v>981.30984000000024</v>
      </c>
      <c r="AE18" s="22">
        <f t="shared" si="165"/>
        <v>981.30984000000024</v>
      </c>
      <c r="AF18" s="22">
        <f t="shared" si="165"/>
        <v>981.30984000000024</v>
      </c>
      <c r="AG18" s="22">
        <f t="shared" si="165"/>
        <v>981.30984000000024</v>
      </c>
      <c r="AH18" s="22">
        <f t="shared" si="165"/>
        <v>981.30984000000024</v>
      </c>
      <c r="AI18" s="22">
        <f t="shared" si="165"/>
        <v>981.30984000000024</v>
      </c>
      <c r="AJ18" s="22">
        <f t="shared" si="165"/>
        <v>981.30984000000024</v>
      </c>
      <c r="AK18" s="22">
        <f t="shared" si="165"/>
        <v>981.30984000000024</v>
      </c>
      <c r="AL18" s="22">
        <f t="shared" si="165"/>
        <v>981.30984000000024</v>
      </c>
      <c r="AM18" s="22">
        <f t="shared" si="165"/>
        <v>981.30984000000024</v>
      </c>
      <c r="AN18" s="22">
        <f t="shared" si="165"/>
        <v>981.30984000000024</v>
      </c>
      <c r="AO18" s="22">
        <f t="shared" si="165"/>
        <v>981.30984000000024</v>
      </c>
      <c r="AP18" s="30">
        <f t="shared" si="148"/>
        <v>11775.718080000001</v>
      </c>
      <c r="AQ18" s="38">
        <v>1</v>
      </c>
      <c r="AR18" s="22">
        <f t="shared" si="176"/>
        <v>1092.1978519200004</v>
      </c>
      <c r="AS18" s="22">
        <f t="shared" si="166"/>
        <v>1092.1978519200004</v>
      </c>
      <c r="AT18" s="22">
        <f t="shared" si="166"/>
        <v>1092.1978519200004</v>
      </c>
      <c r="AU18" s="22">
        <f t="shared" si="166"/>
        <v>1092.1978519200004</v>
      </c>
      <c r="AV18" s="22">
        <f t="shared" si="166"/>
        <v>1092.1978519200004</v>
      </c>
      <c r="AW18" s="22">
        <f t="shared" si="166"/>
        <v>1092.1978519200004</v>
      </c>
      <c r="AX18" s="22">
        <f t="shared" si="166"/>
        <v>1092.1978519200004</v>
      </c>
      <c r="AY18" s="22">
        <f t="shared" si="166"/>
        <v>1092.1978519200004</v>
      </c>
      <c r="AZ18" s="22">
        <f t="shared" si="166"/>
        <v>1092.1978519200004</v>
      </c>
      <c r="BA18" s="22">
        <f t="shared" si="166"/>
        <v>1092.1978519200004</v>
      </c>
      <c r="BB18" s="22">
        <f t="shared" si="166"/>
        <v>1092.1978519200004</v>
      </c>
      <c r="BC18" s="22">
        <f t="shared" si="166"/>
        <v>1092.1978519200004</v>
      </c>
      <c r="BD18" s="30">
        <f t="shared" si="150"/>
        <v>13106.374223040004</v>
      </c>
      <c r="BE18" s="38">
        <v>1</v>
      </c>
      <c r="BF18" s="22">
        <f t="shared" si="177"/>
        <v>1215.6162091869605</v>
      </c>
      <c r="BG18" s="22">
        <f t="shared" si="167"/>
        <v>1215.6162091869605</v>
      </c>
      <c r="BH18" s="22">
        <f t="shared" si="167"/>
        <v>1215.6162091869605</v>
      </c>
      <c r="BI18" s="22">
        <f t="shared" si="167"/>
        <v>1215.6162091869605</v>
      </c>
      <c r="BJ18" s="22">
        <f t="shared" si="167"/>
        <v>1215.6162091869605</v>
      </c>
      <c r="BK18" s="22">
        <f t="shared" si="167"/>
        <v>1215.6162091869605</v>
      </c>
      <c r="BL18" s="22">
        <f t="shared" si="167"/>
        <v>1215.6162091869605</v>
      </c>
      <c r="BM18" s="22">
        <f t="shared" si="167"/>
        <v>1215.6162091869605</v>
      </c>
      <c r="BN18" s="22">
        <f t="shared" si="167"/>
        <v>1215.6162091869605</v>
      </c>
      <c r="BO18" s="22">
        <f t="shared" si="167"/>
        <v>1215.6162091869605</v>
      </c>
      <c r="BP18" s="22">
        <f t="shared" si="167"/>
        <v>1215.6162091869605</v>
      </c>
      <c r="BQ18" s="22">
        <f t="shared" si="167"/>
        <v>1215.6162091869605</v>
      </c>
      <c r="BR18" s="30">
        <f t="shared" si="152"/>
        <v>14587.39451024353</v>
      </c>
      <c r="BS18" s="38">
        <v>1</v>
      </c>
      <c r="BT18" s="22">
        <f t="shared" si="178"/>
        <v>1352.9808408250872</v>
      </c>
      <c r="BU18" s="22">
        <f t="shared" si="168"/>
        <v>1352.9808408250872</v>
      </c>
      <c r="BV18" s="22">
        <f t="shared" si="168"/>
        <v>1352.9808408250872</v>
      </c>
      <c r="BW18" s="22">
        <f t="shared" si="168"/>
        <v>1352.9808408250872</v>
      </c>
      <c r="BX18" s="22">
        <f t="shared" si="168"/>
        <v>1352.9808408250872</v>
      </c>
      <c r="BY18" s="22">
        <f t="shared" si="168"/>
        <v>1352.9808408250872</v>
      </c>
      <c r="BZ18" s="22">
        <f t="shared" si="168"/>
        <v>1352.9808408250872</v>
      </c>
      <c r="CA18" s="22">
        <f t="shared" si="168"/>
        <v>1352.9808408250872</v>
      </c>
      <c r="CB18" s="22">
        <f t="shared" si="168"/>
        <v>1352.9808408250872</v>
      </c>
      <c r="CC18" s="22">
        <f t="shared" si="168"/>
        <v>1352.9808408250872</v>
      </c>
      <c r="CD18" s="22">
        <f t="shared" si="168"/>
        <v>1352.9808408250872</v>
      </c>
      <c r="CE18" s="22">
        <f t="shared" si="168"/>
        <v>1352.9808408250872</v>
      </c>
      <c r="CF18" s="30">
        <f t="shared" si="154"/>
        <v>16235.770089901043</v>
      </c>
      <c r="CG18" s="38">
        <v>1</v>
      </c>
      <c r="CH18" s="22">
        <f t="shared" si="179"/>
        <v>1505.8676758383222</v>
      </c>
      <c r="CI18" s="22">
        <f t="shared" si="169"/>
        <v>1505.8676758383222</v>
      </c>
      <c r="CJ18" s="22">
        <f t="shared" si="169"/>
        <v>1505.8676758383222</v>
      </c>
      <c r="CK18" s="22">
        <f t="shared" si="169"/>
        <v>1505.8676758383222</v>
      </c>
      <c r="CL18" s="22">
        <f t="shared" si="169"/>
        <v>1505.8676758383222</v>
      </c>
      <c r="CM18" s="22">
        <f t="shared" si="169"/>
        <v>1505.8676758383222</v>
      </c>
      <c r="CN18" s="22">
        <f t="shared" si="169"/>
        <v>1505.8676758383222</v>
      </c>
      <c r="CO18" s="22">
        <f t="shared" si="169"/>
        <v>1505.8676758383222</v>
      </c>
      <c r="CP18" s="22">
        <f t="shared" si="169"/>
        <v>1505.8676758383222</v>
      </c>
      <c r="CQ18" s="22">
        <f t="shared" si="169"/>
        <v>1505.8676758383222</v>
      </c>
      <c r="CR18" s="22">
        <f t="shared" si="169"/>
        <v>1505.8676758383222</v>
      </c>
      <c r="CS18" s="22">
        <f t="shared" si="169"/>
        <v>1505.8676758383222</v>
      </c>
      <c r="CT18" s="30">
        <f t="shared" si="156"/>
        <v>18070.412110059868</v>
      </c>
      <c r="CU18" s="38">
        <v>1</v>
      </c>
      <c r="CV18" s="22">
        <f t="shared" si="180"/>
        <v>1676.0307232080527</v>
      </c>
      <c r="CW18" s="22">
        <f t="shared" si="170"/>
        <v>1676.0307232080527</v>
      </c>
      <c r="CX18" s="22">
        <f t="shared" si="170"/>
        <v>1676.0307232080527</v>
      </c>
      <c r="CY18" s="22">
        <f t="shared" si="170"/>
        <v>1676.0307232080527</v>
      </c>
      <c r="CZ18" s="22">
        <f t="shared" si="170"/>
        <v>1676.0307232080527</v>
      </c>
      <c r="DA18" s="22">
        <f t="shared" si="170"/>
        <v>1676.0307232080527</v>
      </c>
      <c r="DB18" s="22">
        <f t="shared" si="170"/>
        <v>1676.0307232080527</v>
      </c>
      <c r="DC18" s="22">
        <f t="shared" si="170"/>
        <v>1676.0307232080527</v>
      </c>
      <c r="DD18" s="22">
        <f t="shared" si="170"/>
        <v>1676.0307232080527</v>
      </c>
      <c r="DE18" s="22">
        <f t="shared" si="170"/>
        <v>1676.0307232080527</v>
      </c>
      <c r="DF18" s="22">
        <f t="shared" si="170"/>
        <v>1676.0307232080527</v>
      </c>
      <c r="DG18" s="22">
        <f t="shared" si="170"/>
        <v>1676.0307232080527</v>
      </c>
      <c r="DH18" s="30">
        <f t="shared" si="158"/>
        <v>20112.36867849663</v>
      </c>
      <c r="DI18" s="38">
        <v>1</v>
      </c>
      <c r="DJ18" s="22">
        <f t="shared" si="181"/>
        <v>1865.4221949305629</v>
      </c>
      <c r="DK18" s="22">
        <f t="shared" si="171"/>
        <v>1865.4221949305629</v>
      </c>
      <c r="DL18" s="22">
        <f t="shared" si="171"/>
        <v>1865.4221949305629</v>
      </c>
      <c r="DM18" s="22">
        <f t="shared" si="171"/>
        <v>1865.4221949305629</v>
      </c>
      <c r="DN18" s="22">
        <f t="shared" si="171"/>
        <v>1865.4221949305629</v>
      </c>
      <c r="DO18" s="22">
        <f t="shared" si="171"/>
        <v>1865.4221949305629</v>
      </c>
      <c r="DP18" s="22">
        <f t="shared" si="171"/>
        <v>1865.4221949305629</v>
      </c>
      <c r="DQ18" s="22">
        <f t="shared" si="171"/>
        <v>1865.4221949305629</v>
      </c>
      <c r="DR18" s="22">
        <f t="shared" si="171"/>
        <v>1865.4221949305629</v>
      </c>
      <c r="DS18" s="22">
        <f t="shared" si="171"/>
        <v>1865.4221949305629</v>
      </c>
      <c r="DT18" s="22">
        <f t="shared" si="171"/>
        <v>1865.4221949305629</v>
      </c>
      <c r="DU18" s="22">
        <f t="shared" si="171"/>
        <v>1865.4221949305629</v>
      </c>
      <c r="DV18" s="30">
        <f t="shared" si="160"/>
        <v>22385.066339166762</v>
      </c>
      <c r="DW18" s="38">
        <v>1</v>
      </c>
      <c r="DX18" s="22">
        <f t="shared" si="182"/>
        <v>2076.2149029577167</v>
      </c>
      <c r="DY18" s="22">
        <f t="shared" si="172"/>
        <v>2076.2149029577167</v>
      </c>
      <c r="DZ18" s="22">
        <f t="shared" si="172"/>
        <v>2076.2149029577167</v>
      </c>
      <c r="EA18" s="22">
        <f t="shared" si="172"/>
        <v>2076.2149029577167</v>
      </c>
      <c r="EB18" s="22">
        <f t="shared" si="172"/>
        <v>2076.2149029577167</v>
      </c>
      <c r="EC18" s="22">
        <f t="shared" si="172"/>
        <v>2076.2149029577167</v>
      </c>
      <c r="ED18" s="22">
        <f t="shared" si="172"/>
        <v>2076.2149029577167</v>
      </c>
      <c r="EE18" s="22">
        <f t="shared" si="172"/>
        <v>2076.2149029577167</v>
      </c>
      <c r="EF18" s="22">
        <f t="shared" si="172"/>
        <v>2076.2149029577167</v>
      </c>
      <c r="EG18" s="22">
        <f t="shared" si="172"/>
        <v>2076.2149029577167</v>
      </c>
      <c r="EH18" s="22">
        <f t="shared" si="172"/>
        <v>2076.2149029577167</v>
      </c>
      <c r="EI18" s="22">
        <f t="shared" si="172"/>
        <v>2076.2149029577167</v>
      </c>
      <c r="EJ18" s="30">
        <f t="shared" si="162"/>
        <v>24914.578835492593</v>
      </c>
    </row>
    <row r="19" spans="1:140">
      <c r="A19" s="8" t="s">
        <v>231</v>
      </c>
      <c r="B19" s="22">
        <v>150</v>
      </c>
      <c r="C19" s="22">
        <f t="shared" si="173"/>
        <v>150</v>
      </c>
      <c r="D19" s="22">
        <f t="shared" si="173"/>
        <v>150</v>
      </c>
      <c r="E19" s="22">
        <f t="shared" si="173"/>
        <v>150</v>
      </c>
      <c r="F19" s="22">
        <f t="shared" si="173"/>
        <v>150</v>
      </c>
      <c r="G19" s="22">
        <f t="shared" si="173"/>
        <v>150</v>
      </c>
      <c r="H19" s="22">
        <f t="shared" si="173"/>
        <v>150</v>
      </c>
      <c r="I19" s="22">
        <f t="shared" si="173"/>
        <v>150</v>
      </c>
      <c r="J19" s="22">
        <f t="shared" si="173"/>
        <v>150</v>
      </c>
      <c r="K19" s="22">
        <f t="shared" si="173"/>
        <v>150</v>
      </c>
      <c r="L19" s="22">
        <f t="shared" si="173"/>
        <v>150</v>
      </c>
      <c r="M19" s="22">
        <f t="shared" si="173"/>
        <v>150</v>
      </c>
      <c r="N19" s="30">
        <f t="shared" si="144"/>
        <v>1800</v>
      </c>
      <c r="O19" s="38">
        <v>1</v>
      </c>
      <c r="P19" s="22">
        <f t="shared" si="174"/>
        <v>165.315</v>
      </c>
      <c r="Q19" s="22">
        <f t="shared" si="164"/>
        <v>165.315</v>
      </c>
      <c r="R19" s="22">
        <f t="shared" si="164"/>
        <v>165.315</v>
      </c>
      <c r="S19" s="22">
        <f t="shared" si="164"/>
        <v>165.315</v>
      </c>
      <c r="T19" s="22">
        <f t="shared" si="164"/>
        <v>165.315</v>
      </c>
      <c r="U19" s="22">
        <f t="shared" si="164"/>
        <v>165.315</v>
      </c>
      <c r="V19" s="22">
        <f t="shared" si="164"/>
        <v>165.315</v>
      </c>
      <c r="W19" s="22">
        <f t="shared" si="164"/>
        <v>165.315</v>
      </c>
      <c r="X19" s="22">
        <f t="shared" si="164"/>
        <v>165.315</v>
      </c>
      <c r="Y19" s="22">
        <f t="shared" si="164"/>
        <v>165.315</v>
      </c>
      <c r="Z19" s="22">
        <f t="shared" si="164"/>
        <v>165.315</v>
      </c>
      <c r="AA19" s="22">
        <f t="shared" si="164"/>
        <v>165.315</v>
      </c>
      <c r="AB19" s="30">
        <f t="shared" si="146"/>
        <v>1983.7800000000004</v>
      </c>
      <c r="AC19" s="38">
        <v>1</v>
      </c>
      <c r="AD19" s="22">
        <f t="shared" si="175"/>
        <v>183.99559500000001</v>
      </c>
      <c r="AE19" s="22">
        <f t="shared" si="165"/>
        <v>183.99559500000001</v>
      </c>
      <c r="AF19" s="22">
        <f t="shared" si="165"/>
        <v>183.99559500000001</v>
      </c>
      <c r="AG19" s="22">
        <f t="shared" si="165"/>
        <v>183.99559500000001</v>
      </c>
      <c r="AH19" s="22">
        <f t="shared" si="165"/>
        <v>183.99559500000001</v>
      </c>
      <c r="AI19" s="22">
        <f t="shared" si="165"/>
        <v>183.99559500000001</v>
      </c>
      <c r="AJ19" s="22">
        <f t="shared" si="165"/>
        <v>183.99559500000001</v>
      </c>
      <c r="AK19" s="22">
        <f t="shared" si="165"/>
        <v>183.99559500000001</v>
      </c>
      <c r="AL19" s="22">
        <f t="shared" si="165"/>
        <v>183.99559500000001</v>
      </c>
      <c r="AM19" s="22">
        <f t="shared" si="165"/>
        <v>183.99559500000001</v>
      </c>
      <c r="AN19" s="22">
        <f t="shared" si="165"/>
        <v>183.99559500000001</v>
      </c>
      <c r="AO19" s="22">
        <f t="shared" si="165"/>
        <v>183.99559500000001</v>
      </c>
      <c r="AP19" s="30">
        <f t="shared" si="148"/>
        <v>2207.9471400000007</v>
      </c>
      <c r="AQ19" s="38">
        <v>1</v>
      </c>
      <c r="AR19" s="22">
        <f t="shared" si="176"/>
        <v>204.78709723500003</v>
      </c>
      <c r="AS19" s="22">
        <f t="shared" si="166"/>
        <v>204.78709723500003</v>
      </c>
      <c r="AT19" s="22">
        <f t="shared" si="166"/>
        <v>204.78709723500003</v>
      </c>
      <c r="AU19" s="22">
        <f t="shared" si="166"/>
        <v>204.78709723500003</v>
      </c>
      <c r="AV19" s="22">
        <f t="shared" si="166"/>
        <v>204.78709723500003</v>
      </c>
      <c r="AW19" s="22">
        <f t="shared" si="166"/>
        <v>204.78709723500003</v>
      </c>
      <c r="AX19" s="22">
        <f t="shared" si="166"/>
        <v>204.78709723500003</v>
      </c>
      <c r="AY19" s="22">
        <f t="shared" si="166"/>
        <v>204.78709723500003</v>
      </c>
      <c r="AZ19" s="22">
        <f t="shared" si="166"/>
        <v>204.78709723500003</v>
      </c>
      <c r="BA19" s="22">
        <f t="shared" si="166"/>
        <v>204.78709723500003</v>
      </c>
      <c r="BB19" s="22">
        <f t="shared" si="166"/>
        <v>204.78709723500003</v>
      </c>
      <c r="BC19" s="22">
        <f t="shared" si="166"/>
        <v>204.78709723500003</v>
      </c>
      <c r="BD19" s="30">
        <f t="shared" si="150"/>
        <v>2457.4451668200008</v>
      </c>
      <c r="BE19" s="38">
        <v>1</v>
      </c>
      <c r="BF19" s="22">
        <f t="shared" si="177"/>
        <v>227.92803922255504</v>
      </c>
      <c r="BG19" s="22">
        <f t="shared" si="167"/>
        <v>227.92803922255504</v>
      </c>
      <c r="BH19" s="22">
        <f t="shared" si="167"/>
        <v>227.92803922255504</v>
      </c>
      <c r="BI19" s="22">
        <f t="shared" si="167"/>
        <v>227.92803922255504</v>
      </c>
      <c r="BJ19" s="22">
        <f t="shared" si="167"/>
        <v>227.92803922255504</v>
      </c>
      <c r="BK19" s="22">
        <f t="shared" si="167"/>
        <v>227.92803922255504</v>
      </c>
      <c r="BL19" s="22">
        <f t="shared" si="167"/>
        <v>227.92803922255504</v>
      </c>
      <c r="BM19" s="22">
        <f t="shared" si="167"/>
        <v>227.92803922255504</v>
      </c>
      <c r="BN19" s="22">
        <f t="shared" si="167"/>
        <v>227.92803922255504</v>
      </c>
      <c r="BO19" s="22">
        <f t="shared" si="167"/>
        <v>227.92803922255504</v>
      </c>
      <c r="BP19" s="22">
        <f t="shared" si="167"/>
        <v>227.92803922255504</v>
      </c>
      <c r="BQ19" s="22">
        <f t="shared" si="167"/>
        <v>227.92803922255504</v>
      </c>
      <c r="BR19" s="30">
        <f t="shared" si="152"/>
        <v>2735.1364706706604</v>
      </c>
      <c r="BS19" s="38">
        <v>1</v>
      </c>
      <c r="BT19" s="22">
        <f t="shared" si="178"/>
        <v>253.6839076547038</v>
      </c>
      <c r="BU19" s="22">
        <f t="shared" si="168"/>
        <v>253.6839076547038</v>
      </c>
      <c r="BV19" s="22">
        <f t="shared" si="168"/>
        <v>253.6839076547038</v>
      </c>
      <c r="BW19" s="22">
        <f t="shared" si="168"/>
        <v>253.6839076547038</v>
      </c>
      <c r="BX19" s="22">
        <f t="shared" si="168"/>
        <v>253.6839076547038</v>
      </c>
      <c r="BY19" s="22">
        <f t="shared" si="168"/>
        <v>253.6839076547038</v>
      </c>
      <c r="BZ19" s="22">
        <f t="shared" si="168"/>
        <v>253.6839076547038</v>
      </c>
      <c r="CA19" s="22">
        <f t="shared" si="168"/>
        <v>253.6839076547038</v>
      </c>
      <c r="CB19" s="22">
        <f t="shared" si="168"/>
        <v>253.6839076547038</v>
      </c>
      <c r="CC19" s="22">
        <f t="shared" si="168"/>
        <v>253.6839076547038</v>
      </c>
      <c r="CD19" s="22">
        <f t="shared" si="168"/>
        <v>253.6839076547038</v>
      </c>
      <c r="CE19" s="22">
        <f t="shared" si="168"/>
        <v>253.6839076547038</v>
      </c>
      <c r="CF19" s="30">
        <f t="shared" si="154"/>
        <v>3044.206891856446</v>
      </c>
      <c r="CG19" s="38">
        <v>1</v>
      </c>
      <c r="CH19" s="22">
        <f t="shared" si="179"/>
        <v>282.35018921968538</v>
      </c>
      <c r="CI19" s="22">
        <f t="shared" si="169"/>
        <v>282.35018921968538</v>
      </c>
      <c r="CJ19" s="22">
        <f t="shared" si="169"/>
        <v>282.35018921968538</v>
      </c>
      <c r="CK19" s="22">
        <f t="shared" si="169"/>
        <v>282.35018921968538</v>
      </c>
      <c r="CL19" s="22">
        <f t="shared" si="169"/>
        <v>282.35018921968538</v>
      </c>
      <c r="CM19" s="22">
        <f t="shared" si="169"/>
        <v>282.35018921968538</v>
      </c>
      <c r="CN19" s="22">
        <f t="shared" si="169"/>
        <v>282.35018921968538</v>
      </c>
      <c r="CO19" s="22">
        <f t="shared" si="169"/>
        <v>282.35018921968538</v>
      </c>
      <c r="CP19" s="22">
        <f t="shared" si="169"/>
        <v>282.35018921968538</v>
      </c>
      <c r="CQ19" s="22">
        <f t="shared" si="169"/>
        <v>282.35018921968538</v>
      </c>
      <c r="CR19" s="22">
        <f t="shared" si="169"/>
        <v>282.35018921968538</v>
      </c>
      <c r="CS19" s="22">
        <f t="shared" si="169"/>
        <v>282.35018921968538</v>
      </c>
      <c r="CT19" s="30">
        <f t="shared" si="156"/>
        <v>3388.2022706362254</v>
      </c>
      <c r="CU19" s="38">
        <v>1</v>
      </c>
      <c r="CV19" s="22">
        <f t="shared" si="180"/>
        <v>314.25576060150991</v>
      </c>
      <c r="CW19" s="22">
        <f t="shared" si="170"/>
        <v>314.25576060150991</v>
      </c>
      <c r="CX19" s="22">
        <f t="shared" si="170"/>
        <v>314.25576060150991</v>
      </c>
      <c r="CY19" s="22">
        <f t="shared" si="170"/>
        <v>314.25576060150991</v>
      </c>
      <c r="CZ19" s="22">
        <f t="shared" si="170"/>
        <v>314.25576060150991</v>
      </c>
      <c r="DA19" s="22">
        <f t="shared" si="170"/>
        <v>314.25576060150991</v>
      </c>
      <c r="DB19" s="22">
        <f t="shared" si="170"/>
        <v>314.25576060150991</v>
      </c>
      <c r="DC19" s="22">
        <f t="shared" si="170"/>
        <v>314.25576060150991</v>
      </c>
      <c r="DD19" s="22">
        <f t="shared" si="170"/>
        <v>314.25576060150991</v>
      </c>
      <c r="DE19" s="22">
        <f t="shared" si="170"/>
        <v>314.25576060150991</v>
      </c>
      <c r="DF19" s="22">
        <f t="shared" si="170"/>
        <v>314.25576060150991</v>
      </c>
      <c r="DG19" s="22">
        <f t="shared" si="170"/>
        <v>314.25576060150991</v>
      </c>
      <c r="DH19" s="30">
        <f t="shared" si="158"/>
        <v>3771.069127218118</v>
      </c>
      <c r="DI19" s="38">
        <v>1</v>
      </c>
      <c r="DJ19" s="22">
        <f t="shared" si="181"/>
        <v>349.76666154948055</v>
      </c>
      <c r="DK19" s="22">
        <f t="shared" si="171"/>
        <v>349.76666154948055</v>
      </c>
      <c r="DL19" s="22">
        <f t="shared" si="171"/>
        <v>349.76666154948055</v>
      </c>
      <c r="DM19" s="22">
        <f t="shared" si="171"/>
        <v>349.76666154948055</v>
      </c>
      <c r="DN19" s="22">
        <f t="shared" si="171"/>
        <v>349.76666154948055</v>
      </c>
      <c r="DO19" s="22">
        <f t="shared" si="171"/>
        <v>349.76666154948055</v>
      </c>
      <c r="DP19" s="22">
        <f t="shared" si="171"/>
        <v>349.76666154948055</v>
      </c>
      <c r="DQ19" s="22">
        <f t="shared" si="171"/>
        <v>349.76666154948055</v>
      </c>
      <c r="DR19" s="22">
        <f t="shared" si="171"/>
        <v>349.76666154948055</v>
      </c>
      <c r="DS19" s="22">
        <f t="shared" si="171"/>
        <v>349.76666154948055</v>
      </c>
      <c r="DT19" s="22">
        <f t="shared" si="171"/>
        <v>349.76666154948055</v>
      </c>
      <c r="DU19" s="22">
        <f t="shared" si="171"/>
        <v>349.76666154948055</v>
      </c>
      <c r="DV19" s="30">
        <f t="shared" si="160"/>
        <v>4197.1999385937661</v>
      </c>
      <c r="DW19" s="38">
        <v>1</v>
      </c>
      <c r="DX19" s="22">
        <f t="shared" si="182"/>
        <v>389.29029430457189</v>
      </c>
      <c r="DY19" s="22">
        <f t="shared" si="172"/>
        <v>389.29029430457189</v>
      </c>
      <c r="DZ19" s="22">
        <f t="shared" si="172"/>
        <v>389.29029430457189</v>
      </c>
      <c r="EA19" s="22">
        <f t="shared" si="172"/>
        <v>389.29029430457189</v>
      </c>
      <c r="EB19" s="22">
        <f t="shared" si="172"/>
        <v>389.29029430457189</v>
      </c>
      <c r="EC19" s="22">
        <f t="shared" si="172"/>
        <v>389.29029430457189</v>
      </c>
      <c r="ED19" s="22">
        <f t="shared" si="172"/>
        <v>389.29029430457189</v>
      </c>
      <c r="EE19" s="22">
        <f t="shared" si="172"/>
        <v>389.29029430457189</v>
      </c>
      <c r="EF19" s="22">
        <f t="shared" si="172"/>
        <v>389.29029430457189</v>
      </c>
      <c r="EG19" s="22">
        <f t="shared" si="172"/>
        <v>389.29029430457189</v>
      </c>
      <c r="EH19" s="22">
        <f t="shared" si="172"/>
        <v>389.29029430457189</v>
      </c>
      <c r="EI19" s="22">
        <f t="shared" si="172"/>
        <v>389.29029430457189</v>
      </c>
      <c r="EJ19" s="30">
        <f t="shared" si="162"/>
        <v>4671.4835316548624</v>
      </c>
    </row>
    <row r="20" spans="1:140">
      <c r="A20" s="8" t="s">
        <v>63</v>
      </c>
      <c r="B20" s="22">
        <v>120</v>
      </c>
      <c r="C20" s="22">
        <f t="shared" si="173"/>
        <v>120</v>
      </c>
      <c r="D20" s="22">
        <f t="shared" si="173"/>
        <v>120</v>
      </c>
      <c r="E20" s="22">
        <f t="shared" si="173"/>
        <v>120</v>
      </c>
      <c r="F20" s="22">
        <f t="shared" si="173"/>
        <v>120</v>
      </c>
      <c r="G20" s="22">
        <f t="shared" si="173"/>
        <v>120</v>
      </c>
      <c r="H20" s="22">
        <f t="shared" si="173"/>
        <v>120</v>
      </c>
      <c r="I20" s="22">
        <f t="shared" si="173"/>
        <v>120</v>
      </c>
      <c r="J20" s="22">
        <f t="shared" si="173"/>
        <v>120</v>
      </c>
      <c r="K20" s="22">
        <f t="shared" si="173"/>
        <v>120</v>
      </c>
      <c r="L20" s="22">
        <f t="shared" si="173"/>
        <v>120</v>
      </c>
      <c r="M20" s="22">
        <f t="shared" si="173"/>
        <v>120</v>
      </c>
      <c r="N20" s="30">
        <f t="shared" si="144"/>
        <v>1440</v>
      </c>
      <c r="O20" s="38">
        <v>1</v>
      </c>
      <c r="P20" s="22">
        <f t="shared" si="174"/>
        <v>132.25200000000001</v>
      </c>
      <c r="Q20" s="22">
        <f t="shared" si="164"/>
        <v>132.25200000000001</v>
      </c>
      <c r="R20" s="22">
        <f t="shared" si="164"/>
        <v>132.25200000000001</v>
      </c>
      <c r="S20" s="22">
        <f t="shared" si="164"/>
        <v>132.25200000000001</v>
      </c>
      <c r="T20" s="22">
        <f t="shared" si="164"/>
        <v>132.25200000000001</v>
      </c>
      <c r="U20" s="22">
        <f t="shared" si="164"/>
        <v>132.25200000000001</v>
      </c>
      <c r="V20" s="22">
        <f t="shared" si="164"/>
        <v>132.25200000000001</v>
      </c>
      <c r="W20" s="22">
        <f t="shared" si="164"/>
        <v>132.25200000000001</v>
      </c>
      <c r="X20" s="22">
        <f t="shared" si="164"/>
        <v>132.25200000000001</v>
      </c>
      <c r="Y20" s="22">
        <f t="shared" si="164"/>
        <v>132.25200000000001</v>
      </c>
      <c r="Z20" s="22">
        <f t="shared" si="164"/>
        <v>132.25200000000001</v>
      </c>
      <c r="AA20" s="22">
        <f t="shared" si="164"/>
        <v>132.25200000000001</v>
      </c>
      <c r="AB20" s="30">
        <f t="shared" si="146"/>
        <v>1587.0239999999997</v>
      </c>
      <c r="AC20" s="38">
        <v>1</v>
      </c>
      <c r="AD20" s="22">
        <f t="shared" si="175"/>
        <v>147.19647600000005</v>
      </c>
      <c r="AE20" s="22">
        <f t="shared" si="165"/>
        <v>147.19647600000005</v>
      </c>
      <c r="AF20" s="22">
        <f t="shared" si="165"/>
        <v>147.19647600000005</v>
      </c>
      <c r="AG20" s="22">
        <f t="shared" si="165"/>
        <v>147.19647600000005</v>
      </c>
      <c r="AH20" s="22">
        <f t="shared" si="165"/>
        <v>147.19647600000005</v>
      </c>
      <c r="AI20" s="22">
        <f t="shared" si="165"/>
        <v>147.19647600000005</v>
      </c>
      <c r="AJ20" s="22">
        <f t="shared" si="165"/>
        <v>147.19647600000005</v>
      </c>
      <c r="AK20" s="22">
        <f t="shared" si="165"/>
        <v>147.19647600000005</v>
      </c>
      <c r="AL20" s="22">
        <f t="shared" si="165"/>
        <v>147.19647600000005</v>
      </c>
      <c r="AM20" s="22">
        <f t="shared" si="165"/>
        <v>147.19647600000005</v>
      </c>
      <c r="AN20" s="22">
        <f t="shared" si="165"/>
        <v>147.19647600000005</v>
      </c>
      <c r="AO20" s="22">
        <f t="shared" si="165"/>
        <v>147.19647600000005</v>
      </c>
      <c r="AP20" s="30">
        <f t="shared" si="148"/>
        <v>1766.3577120000007</v>
      </c>
      <c r="AQ20" s="38">
        <v>1</v>
      </c>
      <c r="AR20" s="22">
        <f t="shared" si="176"/>
        <v>163.82967778800008</v>
      </c>
      <c r="AS20" s="22">
        <f t="shared" si="166"/>
        <v>163.82967778800008</v>
      </c>
      <c r="AT20" s="22">
        <f t="shared" si="166"/>
        <v>163.82967778800008</v>
      </c>
      <c r="AU20" s="22">
        <f t="shared" si="166"/>
        <v>163.82967778800008</v>
      </c>
      <c r="AV20" s="22">
        <f t="shared" si="166"/>
        <v>163.82967778800008</v>
      </c>
      <c r="AW20" s="22">
        <f t="shared" si="166"/>
        <v>163.82967778800008</v>
      </c>
      <c r="AX20" s="22">
        <f t="shared" si="166"/>
        <v>163.82967778800008</v>
      </c>
      <c r="AY20" s="22">
        <f t="shared" si="166"/>
        <v>163.82967778800008</v>
      </c>
      <c r="AZ20" s="22">
        <f t="shared" si="166"/>
        <v>163.82967778800008</v>
      </c>
      <c r="BA20" s="22">
        <f t="shared" si="166"/>
        <v>163.82967778800008</v>
      </c>
      <c r="BB20" s="22">
        <f t="shared" si="166"/>
        <v>163.82967778800008</v>
      </c>
      <c r="BC20" s="22">
        <f t="shared" si="166"/>
        <v>163.82967778800008</v>
      </c>
      <c r="BD20" s="30">
        <f t="shared" si="150"/>
        <v>1965.9561334560005</v>
      </c>
      <c r="BE20" s="38">
        <v>1</v>
      </c>
      <c r="BF20" s="22">
        <f t="shared" si="177"/>
        <v>182.34243137804413</v>
      </c>
      <c r="BG20" s="22">
        <f t="shared" si="167"/>
        <v>182.34243137804413</v>
      </c>
      <c r="BH20" s="22">
        <f t="shared" si="167"/>
        <v>182.34243137804413</v>
      </c>
      <c r="BI20" s="22">
        <f t="shared" si="167"/>
        <v>182.34243137804413</v>
      </c>
      <c r="BJ20" s="22">
        <f t="shared" si="167"/>
        <v>182.34243137804413</v>
      </c>
      <c r="BK20" s="22">
        <f t="shared" si="167"/>
        <v>182.34243137804413</v>
      </c>
      <c r="BL20" s="22">
        <f t="shared" si="167"/>
        <v>182.34243137804413</v>
      </c>
      <c r="BM20" s="22">
        <f t="shared" si="167"/>
        <v>182.34243137804413</v>
      </c>
      <c r="BN20" s="22">
        <f t="shared" si="167"/>
        <v>182.34243137804413</v>
      </c>
      <c r="BO20" s="22">
        <f t="shared" si="167"/>
        <v>182.34243137804413</v>
      </c>
      <c r="BP20" s="22">
        <f t="shared" si="167"/>
        <v>182.34243137804413</v>
      </c>
      <c r="BQ20" s="22">
        <f t="shared" si="167"/>
        <v>182.34243137804413</v>
      </c>
      <c r="BR20" s="30">
        <f t="shared" si="152"/>
        <v>2188.10917653653</v>
      </c>
      <c r="BS20" s="38">
        <v>1</v>
      </c>
      <c r="BT20" s="22">
        <f t="shared" si="178"/>
        <v>202.94712612376313</v>
      </c>
      <c r="BU20" s="22">
        <f t="shared" si="168"/>
        <v>202.94712612376313</v>
      </c>
      <c r="BV20" s="22">
        <f t="shared" si="168"/>
        <v>202.94712612376313</v>
      </c>
      <c r="BW20" s="22">
        <f t="shared" si="168"/>
        <v>202.94712612376313</v>
      </c>
      <c r="BX20" s="22">
        <f t="shared" si="168"/>
        <v>202.94712612376313</v>
      </c>
      <c r="BY20" s="22">
        <f t="shared" si="168"/>
        <v>202.94712612376313</v>
      </c>
      <c r="BZ20" s="22">
        <f t="shared" si="168"/>
        <v>202.94712612376313</v>
      </c>
      <c r="CA20" s="22">
        <f t="shared" si="168"/>
        <v>202.94712612376313</v>
      </c>
      <c r="CB20" s="22">
        <f t="shared" si="168"/>
        <v>202.94712612376313</v>
      </c>
      <c r="CC20" s="22">
        <f t="shared" si="168"/>
        <v>202.94712612376313</v>
      </c>
      <c r="CD20" s="22">
        <f t="shared" si="168"/>
        <v>202.94712612376313</v>
      </c>
      <c r="CE20" s="22">
        <f t="shared" si="168"/>
        <v>202.94712612376313</v>
      </c>
      <c r="CF20" s="30">
        <f t="shared" si="154"/>
        <v>2435.3655134851574</v>
      </c>
      <c r="CG20" s="38">
        <v>1</v>
      </c>
      <c r="CH20" s="22">
        <f t="shared" si="179"/>
        <v>225.88015137574837</v>
      </c>
      <c r="CI20" s="22">
        <f t="shared" si="169"/>
        <v>225.88015137574837</v>
      </c>
      <c r="CJ20" s="22">
        <f t="shared" si="169"/>
        <v>225.88015137574837</v>
      </c>
      <c r="CK20" s="22">
        <f t="shared" si="169"/>
        <v>225.88015137574837</v>
      </c>
      <c r="CL20" s="22">
        <f t="shared" si="169"/>
        <v>225.88015137574837</v>
      </c>
      <c r="CM20" s="22">
        <f t="shared" si="169"/>
        <v>225.88015137574837</v>
      </c>
      <c r="CN20" s="22">
        <f t="shared" si="169"/>
        <v>225.88015137574837</v>
      </c>
      <c r="CO20" s="22">
        <f t="shared" si="169"/>
        <v>225.88015137574837</v>
      </c>
      <c r="CP20" s="22">
        <f t="shared" si="169"/>
        <v>225.88015137574837</v>
      </c>
      <c r="CQ20" s="22">
        <f t="shared" si="169"/>
        <v>225.88015137574837</v>
      </c>
      <c r="CR20" s="22">
        <f t="shared" si="169"/>
        <v>225.88015137574837</v>
      </c>
      <c r="CS20" s="22">
        <f t="shared" si="169"/>
        <v>225.88015137574837</v>
      </c>
      <c r="CT20" s="30">
        <f t="shared" si="156"/>
        <v>2710.5618165089813</v>
      </c>
      <c r="CU20" s="38">
        <v>1</v>
      </c>
      <c r="CV20" s="22">
        <f t="shared" si="180"/>
        <v>251.40460848120796</v>
      </c>
      <c r="CW20" s="22">
        <f t="shared" si="170"/>
        <v>251.40460848120796</v>
      </c>
      <c r="CX20" s="22">
        <f t="shared" si="170"/>
        <v>251.40460848120796</v>
      </c>
      <c r="CY20" s="22">
        <f t="shared" si="170"/>
        <v>251.40460848120796</v>
      </c>
      <c r="CZ20" s="22">
        <f t="shared" si="170"/>
        <v>251.40460848120796</v>
      </c>
      <c r="DA20" s="22">
        <f t="shared" si="170"/>
        <v>251.40460848120796</v>
      </c>
      <c r="DB20" s="22">
        <f t="shared" si="170"/>
        <v>251.40460848120796</v>
      </c>
      <c r="DC20" s="22">
        <f t="shared" si="170"/>
        <v>251.40460848120796</v>
      </c>
      <c r="DD20" s="22">
        <f t="shared" si="170"/>
        <v>251.40460848120796</v>
      </c>
      <c r="DE20" s="22">
        <f t="shared" si="170"/>
        <v>251.40460848120796</v>
      </c>
      <c r="DF20" s="22">
        <f t="shared" si="170"/>
        <v>251.40460848120796</v>
      </c>
      <c r="DG20" s="22">
        <f t="shared" si="170"/>
        <v>251.40460848120796</v>
      </c>
      <c r="DH20" s="30">
        <f t="shared" si="158"/>
        <v>3016.8553017744957</v>
      </c>
      <c r="DI20" s="38">
        <v>1</v>
      </c>
      <c r="DJ20" s="22">
        <f t="shared" si="181"/>
        <v>279.8133292395845</v>
      </c>
      <c r="DK20" s="22">
        <f t="shared" si="171"/>
        <v>279.8133292395845</v>
      </c>
      <c r="DL20" s="22">
        <f t="shared" si="171"/>
        <v>279.8133292395845</v>
      </c>
      <c r="DM20" s="22">
        <f t="shared" si="171"/>
        <v>279.8133292395845</v>
      </c>
      <c r="DN20" s="22">
        <f t="shared" si="171"/>
        <v>279.8133292395845</v>
      </c>
      <c r="DO20" s="22">
        <f t="shared" si="171"/>
        <v>279.8133292395845</v>
      </c>
      <c r="DP20" s="22">
        <f t="shared" si="171"/>
        <v>279.8133292395845</v>
      </c>
      <c r="DQ20" s="22">
        <f t="shared" si="171"/>
        <v>279.8133292395845</v>
      </c>
      <c r="DR20" s="22">
        <f t="shared" si="171"/>
        <v>279.8133292395845</v>
      </c>
      <c r="DS20" s="22">
        <f t="shared" si="171"/>
        <v>279.8133292395845</v>
      </c>
      <c r="DT20" s="22">
        <f t="shared" si="171"/>
        <v>279.8133292395845</v>
      </c>
      <c r="DU20" s="22">
        <f t="shared" si="171"/>
        <v>279.8133292395845</v>
      </c>
      <c r="DV20" s="30">
        <f t="shared" si="160"/>
        <v>3357.759950875015</v>
      </c>
      <c r="DW20" s="38">
        <v>1</v>
      </c>
      <c r="DX20" s="22">
        <f t="shared" si="182"/>
        <v>311.43223544365759</v>
      </c>
      <c r="DY20" s="22">
        <f t="shared" si="172"/>
        <v>311.43223544365759</v>
      </c>
      <c r="DZ20" s="22">
        <f t="shared" si="172"/>
        <v>311.43223544365759</v>
      </c>
      <c r="EA20" s="22">
        <f t="shared" si="172"/>
        <v>311.43223544365759</v>
      </c>
      <c r="EB20" s="22">
        <f t="shared" si="172"/>
        <v>311.43223544365759</v>
      </c>
      <c r="EC20" s="22">
        <f t="shared" si="172"/>
        <v>311.43223544365759</v>
      </c>
      <c r="ED20" s="22">
        <f t="shared" si="172"/>
        <v>311.43223544365759</v>
      </c>
      <c r="EE20" s="22">
        <f t="shared" si="172"/>
        <v>311.43223544365759</v>
      </c>
      <c r="EF20" s="22">
        <f t="shared" si="172"/>
        <v>311.43223544365759</v>
      </c>
      <c r="EG20" s="22">
        <f t="shared" si="172"/>
        <v>311.43223544365759</v>
      </c>
      <c r="EH20" s="22">
        <f t="shared" si="172"/>
        <v>311.43223544365759</v>
      </c>
      <c r="EI20" s="22">
        <f t="shared" si="172"/>
        <v>311.43223544365759</v>
      </c>
      <c r="EJ20" s="30">
        <f t="shared" si="162"/>
        <v>3737.1868253238913</v>
      </c>
    </row>
    <row r="21" spans="1:140">
      <c r="A21" s="8" t="s">
        <v>66</v>
      </c>
      <c r="B21" s="22">
        <v>300</v>
      </c>
      <c r="C21" s="22">
        <f t="shared" si="173"/>
        <v>300</v>
      </c>
      <c r="D21" s="22">
        <f t="shared" si="173"/>
        <v>300</v>
      </c>
      <c r="E21" s="22">
        <f t="shared" si="173"/>
        <v>300</v>
      </c>
      <c r="F21" s="22">
        <f t="shared" si="173"/>
        <v>300</v>
      </c>
      <c r="G21" s="22">
        <f t="shared" si="173"/>
        <v>300</v>
      </c>
      <c r="H21" s="22">
        <f t="shared" si="173"/>
        <v>300</v>
      </c>
      <c r="I21" s="22">
        <f t="shared" si="173"/>
        <v>300</v>
      </c>
      <c r="J21" s="22">
        <f t="shared" si="173"/>
        <v>300</v>
      </c>
      <c r="K21" s="22">
        <f t="shared" si="173"/>
        <v>300</v>
      </c>
      <c r="L21" s="22">
        <f t="shared" si="173"/>
        <v>300</v>
      </c>
      <c r="M21" s="22">
        <f t="shared" si="173"/>
        <v>300</v>
      </c>
      <c r="N21" s="30">
        <f t="shared" si="144"/>
        <v>3600</v>
      </c>
      <c r="O21" s="38">
        <v>1</v>
      </c>
      <c r="P21" s="22">
        <f t="shared" si="174"/>
        <v>330.63</v>
      </c>
      <c r="Q21" s="22">
        <f t="shared" si="164"/>
        <v>330.63</v>
      </c>
      <c r="R21" s="22">
        <f t="shared" si="164"/>
        <v>330.63</v>
      </c>
      <c r="S21" s="22">
        <f t="shared" si="164"/>
        <v>330.63</v>
      </c>
      <c r="T21" s="22">
        <f t="shared" si="164"/>
        <v>330.63</v>
      </c>
      <c r="U21" s="22">
        <f t="shared" si="164"/>
        <v>330.63</v>
      </c>
      <c r="V21" s="22">
        <f t="shared" si="164"/>
        <v>330.63</v>
      </c>
      <c r="W21" s="22">
        <f t="shared" si="164"/>
        <v>330.63</v>
      </c>
      <c r="X21" s="22">
        <f t="shared" si="164"/>
        <v>330.63</v>
      </c>
      <c r="Y21" s="22">
        <f t="shared" si="164"/>
        <v>330.63</v>
      </c>
      <c r="Z21" s="22">
        <f t="shared" si="164"/>
        <v>330.63</v>
      </c>
      <c r="AA21" s="22">
        <f t="shared" si="164"/>
        <v>330.63</v>
      </c>
      <c r="AB21" s="30">
        <f t="shared" si="146"/>
        <v>3967.5600000000009</v>
      </c>
      <c r="AC21" s="38">
        <v>1</v>
      </c>
      <c r="AD21" s="22">
        <f t="shared" si="175"/>
        <v>367.99119000000002</v>
      </c>
      <c r="AE21" s="22">
        <f t="shared" si="165"/>
        <v>367.99119000000002</v>
      </c>
      <c r="AF21" s="22">
        <f t="shared" si="165"/>
        <v>367.99119000000002</v>
      </c>
      <c r="AG21" s="22">
        <f t="shared" si="165"/>
        <v>367.99119000000002</v>
      </c>
      <c r="AH21" s="22">
        <f t="shared" si="165"/>
        <v>367.99119000000002</v>
      </c>
      <c r="AI21" s="22">
        <f t="shared" si="165"/>
        <v>367.99119000000002</v>
      </c>
      <c r="AJ21" s="22">
        <f t="shared" si="165"/>
        <v>367.99119000000002</v>
      </c>
      <c r="AK21" s="22">
        <f t="shared" si="165"/>
        <v>367.99119000000002</v>
      </c>
      <c r="AL21" s="22">
        <f t="shared" si="165"/>
        <v>367.99119000000002</v>
      </c>
      <c r="AM21" s="22">
        <f t="shared" si="165"/>
        <v>367.99119000000002</v>
      </c>
      <c r="AN21" s="22">
        <f t="shared" si="165"/>
        <v>367.99119000000002</v>
      </c>
      <c r="AO21" s="22">
        <f t="shared" si="165"/>
        <v>367.99119000000002</v>
      </c>
      <c r="AP21" s="30">
        <f t="shared" si="148"/>
        <v>4415.8942800000013</v>
      </c>
      <c r="AQ21" s="38">
        <v>1</v>
      </c>
      <c r="AR21" s="22">
        <f t="shared" si="176"/>
        <v>409.57419447000007</v>
      </c>
      <c r="AS21" s="22">
        <f t="shared" si="166"/>
        <v>409.57419447000007</v>
      </c>
      <c r="AT21" s="22">
        <f t="shared" si="166"/>
        <v>409.57419447000007</v>
      </c>
      <c r="AU21" s="22">
        <f t="shared" si="166"/>
        <v>409.57419447000007</v>
      </c>
      <c r="AV21" s="22">
        <f t="shared" si="166"/>
        <v>409.57419447000007</v>
      </c>
      <c r="AW21" s="22">
        <f t="shared" si="166"/>
        <v>409.57419447000007</v>
      </c>
      <c r="AX21" s="22">
        <f t="shared" si="166"/>
        <v>409.57419447000007</v>
      </c>
      <c r="AY21" s="22">
        <f t="shared" si="166"/>
        <v>409.57419447000007</v>
      </c>
      <c r="AZ21" s="22">
        <f t="shared" si="166"/>
        <v>409.57419447000007</v>
      </c>
      <c r="BA21" s="22">
        <f t="shared" si="166"/>
        <v>409.57419447000007</v>
      </c>
      <c r="BB21" s="22">
        <f t="shared" si="166"/>
        <v>409.57419447000007</v>
      </c>
      <c r="BC21" s="22">
        <f t="shared" si="166"/>
        <v>409.57419447000007</v>
      </c>
      <c r="BD21" s="30">
        <f t="shared" si="150"/>
        <v>4914.8903336400017</v>
      </c>
      <c r="BE21" s="38">
        <v>1</v>
      </c>
      <c r="BF21" s="22">
        <f t="shared" si="177"/>
        <v>455.85607844511009</v>
      </c>
      <c r="BG21" s="22">
        <f t="shared" si="167"/>
        <v>455.85607844511009</v>
      </c>
      <c r="BH21" s="22">
        <f t="shared" si="167"/>
        <v>455.85607844511009</v>
      </c>
      <c r="BI21" s="22">
        <f t="shared" si="167"/>
        <v>455.85607844511009</v>
      </c>
      <c r="BJ21" s="22">
        <f t="shared" si="167"/>
        <v>455.85607844511009</v>
      </c>
      <c r="BK21" s="22">
        <f t="shared" si="167"/>
        <v>455.85607844511009</v>
      </c>
      <c r="BL21" s="22">
        <f t="shared" si="167"/>
        <v>455.85607844511009</v>
      </c>
      <c r="BM21" s="22">
        <f t="shared" si="167"/>
        <v>455.85607844511009</v>
      </c>
      <c r="BN21" s="22">
        <f t="shared" si="167"/>
        <v>455.85607844511009</v>
      </c>
      <c r="BO21" s="22">
        <f t="shared" si="167"/>
        <v>455.85607844511009</v>
      </c>
      <c r="BP21" s="22">
        <f t="shared" si="167"/>
        <v>455.85607844511009</v>
      </c>
      <c r="BQ21" s="22">
        <f t="shared" si="167"/>
        <v>455.85607844511009</v>
      </c>
      <c r="BR21" s="30">
        <f t="shared" si="152"/>
        <v>5470.2729413413208</v>
      </c>
      <c r="BS21" s="38">
        <v>1</v>
      </c>
      <c r="BT21" s="22">
        <f t="shared" si="178"/>
        <v>507.3678153094076</v>
      </c>
      <c r="BU21" s="22">
        <f t="shared" si="168"/>
        <v>507.3678153094076</v>
      </c>
      <c r="BV21" s="22">
        <f t="shared" si="168"/>
        <v>507.3678153094076</v>
      </c>
      <c r="BW21" s="22">
        <f t="shared" si="168"/>
        <v>507.3678153094076</v>
      </c>
      <c r="BX21" s="22">
        <f t="shared" si="168"/>
        <v>507.3678153094076</v>
      </c>
      <c r="BY21" s="22">
        <f t="shared" si="168"/>
        <v>507.3678153094076</v>
      </c>
      <c r="BZ21" s="22">
        <f t="shared" si="168"/>
        <v>507.3678153094076</v>
      </c>
      <c r="CA21" s="22">
        <f t="shared" si="168"/>
        <v>507.3678153094076</v>
      </c>
      <c r="CB21" s="22">
        <f t="shared" si="168"/>
        <v>507.3678153094076</v>
      </c>
      <c r="CC21" s="22">
        <f t="shared" si="168"/>
        <v>507.3678153094076</v>
      </c>
      <c r="CD21" s="22">
        <f t="shared" si="168"/>
        <v>507.3678153094076</v>
      </c>
      <c r="CE21" s="22">
        <f t="shared" si="168"/>
        <v>507.3678153094076</v>
      </c>
      <c r="CF21" s="30">
        <f t="shared" si="154"/>
        <v>6088.4137837128919</v>
      </c>
      <c r="CG21" s="38">
        <v>1</v>
      </c>
      <c r="CH21" s="22">
        <f t="shared" si="179"/>
        <v>564.70037843937075</v>
      </c>
      <c r="CI21" s="22">
        <f t="shared" si="169"/>
        <v>564.70037843937075</v>
      </c>
      <c r="CJ21" s="22">
        <f t="shared" si="169"/>
        <v>564.70037843937075</v>
      </c>
      <c r="CK21" s="22">
        <f t="shared" si="169"/>
        <v>564.70037843937075</v>
      </c>
      <c r="CL21" s="22">
        <f t="shared" si="169"/>
        <v>564.70037843937075</v>
      </c>
      <c r="CM21" s="22">
        <f t="shared" si="169"/>
        <v>564.70037843937075</v>
      </c>
      <c r="CN21" s="22">
        <f t="shared" si="169"/>
        <v>564.70037843937075</v>
      </c>
      <c r="CO21" s="22">
        <f t="shared" si="169"/>
        <v>564.70037843937075</v>
      </c>
      <c r="CP21" s="22">
        <f t="shared" si="169"/>
        <v>564.70037843937075</v>
      </c>
      <c r="CQ21" s="22">
        <f t="shared" si="169"/>
        <v>564.70037843937075</v>
      </c>
      <c r="CR21" s="22">
        <f t="shared" si="169"/>
        <v>564.70037843937075</v>
      </c>
      <c r="CS21" s="22">
        <f t="shared" si="169"/>
        <v>564.70037843937075</v>
      </c>
      <c r="CT21" s="30">
        <f t="shared" si="156"/>
        <v>6776.4045412724508</v>
      </c>
      <c r="CU21" s="38">
        <v>1</v>
      </c>
      <c r="CV21" s="22">
        <f t="shared" si="180"/>
        <v>628.51152120301981</v>
      </c>
      <c r="CW21" s="22">
        <f t="shared" si="170"/>
        <v>628.51152120301981</v>
      </c>
      <c r="CX21" s="22">
        <f t="shared" si="170"/>
        <v>628.51152120301981</v>
      </c>
      <c r="CY21" s="22">
        <f t="shared" si="170"/>
        <v>628.51152120301981</v>
      </c>
      <c r="CZ21" s="22">
        <f t="shared" si="170"/>
        <v>628.51152120301981</v>
      </c>
      <c r="DA21" s="22">
        <f t="shared" si="170"/>
        <v>628.51152120301981</v>
      </c>
      <c r="DB21" s="22">
        <f t="shared" si="170"/>
        <v>628.51152120301981</v>
      </c>
      <c r="DC21" s="22">
        <f t="shared" si="170"/>
        <v>628.51152120301981</v>
      </c>
      <c r="DD21" s="22">
        <f t="shared" si="170"/>
        <v>628.51152120301981</v>
      </c>
      <c r="DE21" s="22">
        <f t="shared" si="170"/>
        <v>628.51152120301981</v>
      </c>
      <c r="DF21" s="22">
        <f t="shared" si="170"/>
        <v>628.51152120301981</v>
      </c>
      <c r="DG21" s="22">
        <f t="shared" si="170"/>
        <v>628.51152120301981</v>
      </c>
      <c r="DH21" s="30">
        <f t="shared" si="158"/>
        <v>7542.1382544362359</v>
      </c>
      <c r="DI21" s="38">
        <v>1</v>
      </c>
      <c r="DJ21" s="22">
        <f t="shared" si="181"/>
        <v>699.53332309896109</v>
      </c>
      <c r="DK21" s="22">
        <f t="shared" si="171"/>
        <v>699.53332309896109</v>
      </c>
      <c r="DL21" s="22">
        <f t="shared" si="171"/>
        <v>699.53332309896109</v>
      </c>
      <c r="DM21" s="22">
        <f t="shared" si="171"/>
        <v>699.53332309896109</v>
      </c>
      <c r="DN21" s="22">
        <f t="shared" si="171"/>
        <v>699.53332309896109</v>
      </c>
      <c r="DO21" s="22">
        <f t="shared" si="171"/>
        <v>699.53332309896109</v>
      </c>
      <c r="DP21" s="22">
        <f t="shared" si="171"/>
        <v>699.53332309896109</v>
      </c>
      <c r="DQ21" s="22">
        <f t="shared" si="171"/>
        <v>699.53332309896109</v>
      </c>
      <c r="DR21" s="22">
        <f t="shared" si="171"/>
        <v>699.53332309896109</v>
      </c>
      <c r="DS21" s="22">
        <f t="shared" si="171"/>
        <v>699.53332309896109</v>
      </c>
      <c r="DT21" s="22">
        <f t="shared" si="171"/>
        <v>699.53332309896109</v>
      </c>
      <c r="DU21" s="22">
        <f t="shared" si="171"/>
        <v>699.53332309896109</v>
      </c>
      <c r="DV21" s="30">
        <f t="shared" si="160"/>
        <v>8394.3998771875322</v>
      </c>
      <c r="DW21" s="38">
        <v>1</v>
      </c>
      <c r="DX21" s="22">
        <f t="shared" si="182"/>
        <v>778.58058860914377</v>
      </c>
      <c r="DY21" s="22">
        <f t="shared" si="172"/>
        <v>778.58058860914377</v>
      </c>
      <c r="DZ21" s="22">
        <f t="shared" si="172"/>
        <v>778.58058860914377</v>
      </c>
      <c r="EA21" s="22">
        <f t="shared" si="172"/>
        <v>778.58058860914377</v>
      </c>
      <c r="EB21" s="22">
        <f t="shared" si="172"/>
        <v>778.58058860914377</v>
      </c>
      <c r="EC21" s="22">
        <f t="shared" si="172"/>
        <v>778.58058860914377</v>
      </c>
      <c r="ED21" s="22">
        <f t="shared" si="172"/>
        <v>778.58058860914377</v>
      </c>
      <c r="EE21" s="22">
        <f t="shared" si="172"/>
        <v>778.58058860914377</v>
      </c>
      <c r="EF21" s="22">
        <f t="shared" si="172"/>
        <v>778.58058860914377</v>
      </c>
      <c r="EG21" s="22">
        <f t="shared" si="172"/>
        <v>778.58058860914377</v>
      </c>
      <c r="EH21" s="22">
        <f t="shared" si="172"/>
        <v>778.58058860914377</v>
      </c>
      <c r="EI21" s="22">
        <f t="shared" si="172"/>
        <v>778.58058860914377</v>
      </c>
      <c r="EJ21" s="30">
        <f t="shared" si="162"/>
        <v>9342.9670633097248</v>
      </c>
    </row>
    <row r="22" spans="1:140">
      <c r="A22" s="8" t="s">
        <v>70</v>
      </c>
      <c r="B22" s="22">
        <v>800</v>
      </c>
      <c r="C22" s="22">
        <f t="shared" si="173"/>
        <v>800</v>
      </c>
      <c r="D22" s="22">
        <f t="shared" si="173"/>
        <v>800</v>
      </c>
      <c r="E22" s="22">
        <f t="shared" si="173"/>
        <v>800</v>
      </c>
      <c r="F22" s="22">
        <f t="shared" si="173"/>
        <v>800</v>
      </c>
      <c r="G22" s="22">
        <f t="shared" si="173"/>
        <v>800</v>
      </c>
      <c r="H22" s="22">
        <f t="shared" si="173"/>
        <v>800</v>
      </c>
      <c r="I22" s="22">
        <f t="shared" si="173"/>
        <v>800</v>
      </c>
      <c r="J22" s="22">
        <f t="shared" si="173"/>
        <v>800</v>
      </c>
      <c r="K22" s="22">
        <f t="shared" si="173"/>
        <v>800</v>
      </c>
      <c r="L22" s="22">
        <f t="shared" si="173"/>
        <v>800</v>
      </c>
      <c r="M22" s="22">
        <f t="shared" si="173"/>
        <v>800</v>
      </c>
      <c r="N22" s="30">
        <f t="shared" si="144"/>
        <v>9600</v>
      </c>
      <c r="O22" s="38">
        <v>1</v>
      </c>
      <c r="P22" s="22">
        <f t="shared" si="174"/>
        <v>881.68000000000006</v>
      </c>
      <c r="Q22" s="22">
        <f t="shared" si="164"/>
        <v>881.68000000000006</v>
      </c>
      <c r="R22" s="22">
        <f t="shared" si="164"/>
        <v>881.68000000000006</v>
      </c>
      <c r="S22" s="22">
        <f t="shared" si="164"/>
        <v>881.68000000000006</v>
      </c>
      <c r="T22" s="22">
        <f t="shared" si="164"/>
        <v>881.68000000000006</v>
      </c>
      <c r="U22" s="22">
        <f t="shared" si="164"/>
        <v>881.68000000000006</v>
      </c>
      <c r="V22" s="22">
        <f t="shared" si="164"/>
        <v>881.68000000000006</v>
      </c>
      <c r="W22" s="22">
        <f t="shared" si="164"/>
        <v>881.68000000000006</v>
      </c>
      <c r="X22" s="22">
        <f t="shared" si="164"/>
        <v>881.68000000000006</v>
      </c>
      <c r="Y22" s="22">
        <f t="shared" si="164"/>
        <v>881.68000000000006</v>
      </c>
      <c r="Z22" s="22">
        <f t="shared" si="164"/>
        <v>881.68000000000006</v>
      </c>
      <c r="AA22" s="22">
        <f t="shared" si="164"/>
        <v>881.68000000000006</v>
      </c>
      <c r="AB22" s="30">
        <f t="shared" si="146"/>
        <v>10580.160000000002</v>
      </c>
      <c r="AC22" s="38">
        <v>1</v>
      </c>
      <c r="AD22" s="22">
        <f t="shared" si="175"/>
        <v>981.30984000000024</v>
      </c>
      <c r="AE22" s="22">
        <f t="shared" si="165"/>
        <v>981.30984000000024</v>
      </c>
      <c r="AF22" s="22">
        <f t="shared" si="165"/>
        <v>981.30984000000024</v>
      </c>
      <c r="AG22" s="22">
        <f t="shared" si="165"/>
        <v>981.30984000000024</v>
      </c>
      <c r="AH22" s="22">
        <f t="shared" si="165"/>
        <v>981.30984000000024</v>
      </c>
      <c r="AI22" s="22">
        <f t="shared" si="165"/>
        <v>981.30984000000024</v>
      </c>
      <c r="AJ22" s="22">
        <f t="shared" si="165"/>
        <v>981.30984000000024</v>
      </c>
      <c r="AK22" s="22">
        <f t="shared" si="165"/>
        <v>981.30984000000024</v>
      </c>
      <c r="AL22" s="22">
        <f t="shared" si="165"/>
        <v>981.30984000000024</v>
      </c>
      <c r="AM22" s="22">
        <f t="shared" si="165"/>
        <v>981.30984000000024</v>
      </c>
      <c r="AN22" s="22">
        <f t="shared" si="165"/>
        <v>981.30984000000024</v>
      </c>
      <c r="AO22" s="22">
        <f t="shared" si="165"/>
        <v>981.30984000000024</v>
      </c>
      <c r="AP22" s="30">
        <f t="shared" si="148"/>
        <v>11775.718080000001</v>
      </c>
      <c r="AQ22" s="38">
        <v>1</v>
      </c>
      <c r="AR22" s="22">
        <f t="shared" si="176"/>
        <v>1092.1978519200004</v>
      </c>
      <c r="AS22" s="22">
        <f t="shared" si="166"/>
        <v>1092.1978519200004</v>
      </c>
      <c r="AT22" s="22">
        <f t="shared" si="166"/>
        <v>1092.1978519200004</v>
      </c>
      <c r="AU22" s="22">
        <f t="shared" si="166"/>
        <v>1092.1978519200004</v>
      </c>
      <c r="AV22" s="22">
        <f t="shared" si="166"/>
        <v>1092.1978519200004</v>
      </c>
      <c r="AW22" s="22">
        <f t="shared" si="166"/>
        <v>1092.1978519200004</v>
      </c>
      <c r="AX22" s="22">
        <f t="shared" si="166"/>
        <v>1092.1978519200004</v>
      </c>
      <c r="AY22" s="22">
        <f t="shared" si="166"/>
        <v>1092.1978519200004</v>
      </c>
      <c r="AZ22" s="22">
        <f t="shared" si="166"/>
        <v>1092.1978519200004</v>
      </c>
      <c r="BA22" s="22">
        <f t="shared" si="166"/>
        <v>1092.1978519200004</v>
      </c>
      <c r="BB22" s="22">
        <f t="shared" si="166"/>
        <v>1092.1978519200004</v>
      </c>
      <c r="BC22" s="22">
        <f t="shared" si="166"/>
        <v>1092.1978519200004</v>
      </c>
      <c r="BD22" s="30">
        <f t="shared" si="150"/>
        <v>13106.374223040004</v>
      </c>
      <c r="BE22" s="38">
        <v>1</v>
      </c>
      <c r="BF22" s="22">
        <f t="shared" si="177"/>
        <v>1215.6162091869605</v>
      </c>
      <c r="BG22" s="22">
        <f t="shared" si="167"/>
        <v>1215.6162091869605</v>
      </c>
      <c r="BH22" s="22">
        <f t="shared" si="167"/>
        <v>1215.6162091869605</v>
      </c>
      <c r="BI22" s="22">
        <f t="shared" si="167"/>
        <v>1215.6162091869605</v>
      </c>
      <c r="BJ22" s="22">
        <f t="shared" si="167"/>
        <v>1215.6162091869605</v>
      </c>
      <c r="BK22" s="22">
        <f t="shared" si="167"/>
        <v>1215.6162091869605</v>
      </c>
      <c r="BL22" s="22">
        <f t="shared" si="167"/>
        <v>1215.6162091869605</v>
      </c>
      <c r="BM22" s="22">
        <f t="shared" si="167"/>
        <v>1215.6162091869605</v>
      </c>
      <c r="BN22" s="22">
        <f t="shared" si="167"/>
        <v>1215.6162091869605</v>
      </c>
      <c r="BO22" s="22">
        <f t="shared" si="167"/>
        <v>1215.6162091869605</v>
      </c>
      <c r="BP22" s="22">
        <f t="shared" si="167"/>
        <v>1215.6162091869605</v>
      </c>
      <c r="BQ22" s="22">
        <f t="shared" si="167"/>
        <v>1215.6162091869605</v>
      </c>
      <c r="BR22" s="30">
        <f t="shared" si="152"/>
        <v>14587.39451024353</v>
      </c>
      <c r="BS22" s="38">
        <v>1</v>
      </c>
      <c r="BT22" s="22">
        <f t="shared" si="178"/>
        <v>1352.9808408250872</v>
      </c>
      <c r="BU22" s="22">
        <f t="shared" si="168"/>
        <v>1352.9808408250872</v>
      </c>
      <c r="BV22" s="22">
        <f t="shared" si="168"/>
        <v>1352.9808408250872</v>
      </c>
      <c r="BW22" s="22">
        <f t="shared" si="168"/>
        <v>1352.9808408250872</v>
      </c>
      <c r="BX22" s="22">
        <f t="shared" si="168"/>
        <v>1352.9808408250872</v>
      </c>
      <c r="BY22" s="22">
        <f t="shared" si="168"/>
        <v>1352.9808408250872</v>
      </c>
      <c r="BZ22" s="22">
        <f t="shared" si="168"/>
        <v>1352.9808408250872</v>
      </c>
      <c r="CA22" s="22">
        <f t="shared" si="168"/>
        <v>1352.9808408250872</v>
      </c>
      <c r="CB22" s="22">
        <f t="shared" si="168"/>
        <v>1352.9808408250872</v>
      </c>
      <c r="CC22" s="22">
        <f t="shared" si="168"/>
        <v>1352.9808408250872</v>
      </c>
      <c r="CD22" s="22">
        <f t="shared" si="168"/>
        <v>1352.9808408250872</v>
      </c>
      <c r="CE22" s="22">
        <f t="shared" si="168"/>
        <v>1352.9808408250872</v>
      </c>
      <c r="CF22" s="30">
        <f t="shared" si="154"/>
        <v>16235.770089901043</v>
      </c>
      <c r="CG22" s="38">
        <v>1</v>
      </c>
      <c r="CH22" s="22">
        <f t="shared" si="179"/>
        <v>1505.8676758383222</v>
      </c>
      <c r="CI22" s="22">
        <f t="shared" si="169"/>
        <v>1505.8676758383222</v>
      </c>
      <c r="CJ22" s="22">
        <f t="shared" si="169"/>
        <v>1505.8676758383222</v>
      </c>
      <c r="CK22" s="22">
        <f t="shared" si="169"/>
        <v>1505.8676758383222</v>
      </c>
      <c r="CL22" s="22">
        <f t="shared" si="169"/>
        <v>1505.8676758383222</v>
      </c>
      <c r="CM22" s="22">
        <f t="shared" si="169"/>
        <v>1505.8676758383222</v>
      </c>
      <c r="CN22" s="22">
        <f t="shared" si="169"/>
        <v>1505.8676758383222</v>
      </c>
      <c r="CO22" s="22">
        <f t="shared" si="169"/>
        <v>1505.8676758383222</v>
      </c>
      <c r="CP22" s="22">
        <f t="shared" si="169"/>
        <v>1505.8676758383222</v>
      </c>
      <c r="CQ22" s="22">
        <f t="shared" si="169"/>
        <v>1505.8676758383222</v>
      </c>
      <c r="CR22" s="22">
        <f t="shared" si="169"/>
        <v>1505.8676758383222</v>
      </c>
      <c r="CS22" s="22">
        <f t="shared" si="169"/>
        <v>1505.8676758383222</v>
      </c>
      <c r="CT22" s="30">
        <f t="shared" si="156"/>
        <v>18070.412110059868</v>
      </c>
      <c r="CU22" s="38">
        <v>1</v>
      </c>
      <c r="CV22" s="22">
        <f t="shared" si="180"/>
        <v>1676.0307232080527</v>
      </c>
      <c r="CW22" s="22">
        <f t="shared" si="170"/>
        <v>1676.0307232080527</v>
      </c>
      <c r="CX22" s="22">
        <f t="shared" si="170"/>
        <v>1676.0307232080527</v>
      </c>
      <c r="CY22" s="22">
        <f t="shared" si="170"/>
        <v>1676.0307232080527</v>
      </c>
      <c r="CZ22" s="22">
        <f t="shared" si="170"/>
        <v>1676.0307232080527</v>
      </c>
      <c r="DA22" s="22">
        <f t="shared" si="170"/>
        <v>1676.0307232080527</v>
      </c>
      <c r="DB22" s="22">
        <f t="shared" si="170"/>
        <v>1676.0307232080527</v>
      </c>
      <c r="DC22" s="22">
        <f t="shared" si="170"/>
        <v>1676.0307232080527</v>
      </c>
      <c r="DD22" s="22">
        <f t="shared" si="170"/>
        <v>1676.0307232080527</v>
      </c>
      <c r="DE22" s="22">
        <f t="shared" si="170"/>
        <v>1676.0307232080527</v>
      </c>
      <c r="DF22" s="22">
        <f t="shared" si="170"/>
        <v>1676.0307232080527</v>
      </c>
      <c r="DG22" s="22">
        <f t="shared" si="170"/>
        <v>1676.0307232080527</v>
      </c>
      <c r="DH22" s="30">
        <f t="shared" si="158"/>
        <v>20112.36867849663</v>
      </c>
      <c r="DI22" s="38">
        <v>1</v>
      </c>
      <c r="DJ22" s="22">
        <f t="shared" si="181"/>
        <v>1865.4221949305629</v>
      </c>
      <c r="DK22" s="22">
        <f t="shared" si="171"/>
        <v>1865.4221949305629</v>
      </c>
      <c r="DL22" s="22">
        <f t="shared" si="171"/>
        <v>1865.4221949305629</v>
      </c>
      <c r="DM22" s="22">
        <f t="shared" si="171"/>
        <v>1865.4221949305629</v>
      </c>
      <c r="DN22" s="22">
        <f t="shared" si="171"/>
        <v>1865.4221949305629</v>
      </c>
      <c r="DO22" s="22">
        <f t="shared" si="171"/>
        <v>1865.4221949305629</v>
      </c>
      <c r="DP22" s="22">
        <f t="shared" si="171"/>
        <v>1865.4221949305629</v>
      </c>
      <c r="DQ22" s="22">
        <f t="shared" si="171"/>
        <v>1865.4221949305629</v>
      </c>
      <c r="DR22" s="22">
        <f t="shared" si="171"/>
        <v>1865.4221949305629</v>
      </c>
      <c r="DS22" s="22">
        <f t="shared" si="171"/>
        <v>1865.4221949305629</v>
      </c>
      <c r="DT22" s="22">
        <f t="shared" si="171"/>
        <v>1865.4221949305629</v>
      </c>
      <c r="DU22" s="22">
        <f t="shared" si="171"/>
        <v>1865.4221949305629</v>
      </c>
      <c r="DV22" s="30">
        <f t="shared" si="160"/>
        <v>22385.066339166762</v>
      </c>
      <c r="DW22" s="38">
        <v>1</v>
      </c>
      <c r="DX22" s="22">
        <f t="shared" si="182"/>
        <v>2076.2149029577167</v>
      </c>
      <c r="DY22" s="22">
        <f t="shared" si="172"/>
        <v>2076.2149029577167</v>
      </c>
      <c r="DZ22" s="22">
        <f t="shared" si="172"/>
        <v>2076.2149029577167</v>
      </c>
      <c r="EA22" s="22">
        <f t="shared" si="172"/>
        <v>2076.2149029577167</v>
      </c>
      <c r="EB22" s="22">
        <f t="shared" si="172"/>
        <v>2076.2149029577167</v>
      </c>
      <c r="EC22" s="22">
        <f t="shared" si="172"/>
        <v>2076.2149029577167</v>
      </c>
      <c r="ED22" s="22">
        <f t="shared" si="172"/>
        <v>2076.2149029577167</v>
      </c>
      <c r="EE22" s="22">
        <f t="shared" si="172"/>
        <v>2076.2149029577167</v>
      </c>
      <c r="EF22" s="22">
        <f t="shared" si="172"/>
        <v>2076.2149029577167</v>
      </c>
      <c r="EG22" s="22">
        <f t="shared" si="172"/>
        <v>2076.2149029577167</v>
      </c>
      <c r="EH22" s="22">
        <f t="shared" si="172"/>
        <v>2076.2149029577167</v>
      </c>
      <c r="EI22" s="22">
        <f t="shared" si="172"/>
        <v>2076.2149029577167</v>
      </c>
      <c r="EJ22" s="30">
        <f t="shared" si="162"/>
        <v>24914.578835492593</v>
      </c>
    </row>
    <row r="23" spans="1:140">
      <c r="A23" s="8" t="s">
        <v>232</v>
      </c>
      <c r="B23" s="22">
        <v>80</v>
      </c>
      <c r="C23" s="22">
        <f t="shared" si="173"/>
        <v>80</v>
      </c>
      <c r="D23" s="22">
        <f t="shared" si="173"/>
        <v>80</v>
      </c>
      <c r="E23" s="22">
        <f t="shared" si="173"/>
        <v>80</v>
      </c>
      <c r="F23" s="22">
        <f t="shared" si="173"/>
        <v>80</v>
      </c>
      <c r="G23" s="22">
        <f t="shared" si="173"/>
        <v>80</v>
      </c>
      <c r="H23" s="22">
        <f t="shared" si="173"/>
        <v>80</v>
      </c>
      <c r="I23" s="22">
        <f t="shared" si="173"/>
        <v>80</v>
      </c>
      <c r="J23" s="22">
        <f t="shared" si="173"/>
        <v>80</v>
      </c>
      <c r="K23" s="22">
        <f t="shared" si="173"/>
        <v>80</v>
      </c>
      <c r="L23" s="22">
        <f t="shared" si="173"/>
        <v>80</v>
      </c>
      <c r="M23" s="22">
        <f t="shared" si="173"/>
        <v>80</v>
      </c>
      <c r="N23" s="30">
        <f t="shared" si="144"/>
        <v>960</v>
      </c>
      <c r="O23" s="38">
        <v>1</v>
      </c>
      <c r="P23" s="22">
        <f t="shared" si="174"/>
        <v>88.168000000000006</v>
      </c>
      <c r="Q23" s="22">
        <f t="shared" si="164"/>
        <v>88.168000000000006</v>
      </c>
      <c r="R23" s="22">
        <f t="shared" si="164"/>
        <v>88.168000000000006</v>
      </c>
      <c r="S23" s="22">
        <f t="shared" si="164"/>
        <v>88.168000000000006</v>
      </c>
      <c r="T23" s="22">
        <f t="shared" si="164"/>
        <v>88.168000000000006</v>
      </c>
      <c r="U23" s="22">
        <f t="shared" si="164"/>
        <v>88.168000000000006</v>
      </c>
      <c r="V23" s="22">
        <f t="shared" si="164"/>
        <v>88.168000000000006</v>
      </c>
      <c r="W23" s="22">
        <f t="shared" si="164"/>
        <v>88.168000000000006</v>
      </c>
      <c r="X23" s="22">
        <f t="shared" si="164"/>
        <v>88.168000000000006</v>
      </c>
      <c r="Y23" s="22">
        <f t="shared" si="164"/>
        <v>88.168000000000006</v>
      </c>
      <c r="Z23" s="22">
        <f t="shared" si="164"/>
        <v>88.168000000000006</v>
      </c>
      <c r="AA23" s="22">
        <f t="shared" si="164"/>
        <v>88.168000000000006</v>
      </c>
      <c r="AB23" s="30">
        <f t="shared" si="146"/>
        <v>1058.0160000000001</v>
      </c>
      <c r="AC23" s="38">
        <v>1</v>
      </c>
      <c r="AD23" s="22">
        <f t="shared" si="175"/>
        <v>98.130984000000012</v>
      </c>
      <c r="AE23" s="22">
        <f t="shared" si="165"/>
        <v>98.130984000000012</v>
      </c>
      <c r="AF23" s="22">
        <f t="shared" si="165"/>
        <v>98.130984000000012</v>
      </c>
      <c r="AG23" s="22">
        <f t="shared" si="165"/>
        <v>98.130984000000012</v>
      </c>
      <c r="AH23" s="22">
        <f t="shared" si="165"/>
        <v>98.130984000000012</v>
      </c>
      <c r="AI23" s="22">
        <f t="shared" si="165"/>
        <v>98.130984000000012</v>
      </c>
      <c r="AJ23" s="22">
        <f t="shared" si="165"/>
        <v>98.130984000000012</v>
      </c>
      <c r="AK23" s="22">
        <f t="shared" si="165"/>
        <v>98.130984000000012</v>
      </c>
      <c r="AL23" s="22">
        <f t="shared" si="165"/>
        <v>98.130984000000012</v>
      </c>
      <c r="AM23" s="22">
        <f t="shared" si="165"/>
        <v>98.130984000000012</v>
      </c>
      <c r="AN23" s="22">
        <f t="shared" si="165"/>
        <v>98.130984000000012</v>
      </c>
      <c r="AO23" s="22">
        <f t="shared" si="165"/>
        <v>98.130984000000012</v>
      </c>
      <c r="AP23" s="30">
        <f t="shared" si="148"/>
        <v>1177.5718080000001</v>
      </c>
      <c r="AQ23" s="38">
        <v>1</v>
      </c>
      <c r="AR23" s="22">
        <f t="shared" si="176"/>
        <v>109.21978519200002</v>
      </c>
      <c r="AS23" s="22">
        <f t="shared" si="166"/>
        <v>109.21978519200002</v>
      </c>
      <c r="AT23" s="22">
        <f t="shared" si="166"/>
        <v>109.21978519200002</v>
      </c>
      <c r="AU23" s="22">
        <f t="shared" si="166"/>
        <v>109.21978519200002</v>
      </c>
      <c r="AV23" s="22">
        <f t="shared" si="166"/>
        <v>109.21978519200002</v>
      </c>
      <c r="AW23" s="22">
        <f t="shared" si="166"/>
        <v>109.21978519200002</v>
      </c>
      <c r="AX23" s="22">
        <f t="shared" si="166"/>
        <v>109.21978519200002</v>
      </c>
      <c r="AY23" s="22">
        <f t="shared" si="166"/>
        <v>109.21978519200002</v>
      </c>
      <c r="AZ23" s="22">
        <f t="shared" si="166"/>
        <v>109.21978519200002</v>
      </c>
      <c r="BA23" s="22">
        <f t="shared" si="166"/>
        <v>109.21978519200002</v>
      </c>
      <c r="BB23" s="22">
        <f t="shared" si="166"/>
        <v>109.21978519200002</v>
      </c>
      <c r="BC23" s="22">
        <f t="shared" si="166"/>
        <v>109.21978519200002</v>
      </c>
      <c r="BD23" s="30">
        <f t="shared" si="150"/>
        <v>1310.6374223040002</v>
      </c>
      <c r="BE23" s="38">
        <v>1</v>
      </c>
      <c r="BF23" s="22">
        <f t="shared" si="177"/>
        <v>121.56162091869604</v>
      </c>
      <c r="BG23" s="22">
        <f t="shared" si="167"/>
        <v>121.56162091869604</v>
      </c>
      <c r="BH23" s="22">
        <f t="shared" si="167"/>
        <v>121.56162091869604</v>
      </c>
      <c r="BI23" s="22">
        <f t="shared" si="167"/>
        <v>121.56162091869604</v>
      </c>
      <c r="BJ23" s="22">
        <f t="shared" si="167"/>
        <v>121.56162091869604</v>
      </c>
      <c r="BK23" s="22">
        <f t="shared" si="167"/>
        <v>121.56162091869604</v>
      </c>
      <c r="BL23" s="22">
        <f t="shared" si="167"/>
        <v>121.56162091869604</v>
      </c>
      <c r="BM23" s="22">
        <f t="shared" si="167"/>
        <v>121.56162091869604</v>
      </c>
      <c r="BN23" s="22">
        <f t="shared" si="167"/>
        <v>121.56162091869604</v>
      </c>
      <c r="BO23" s="22">
        <f t="shared" si="167"/>
        <v>121.56162091869604</v>
      </c>
      <c r="BP23" s="22">
        <f t="shared" si="167"/>
        <v>121.56162091869604</v>
      </c>
      <c r="BQ23" s="22">
        <f t="shared" si="167"/>
        <v>121.56162091869604</v>
      </c>
      <c r="BR23" s="30">
        <f t="shared" si="152"/>
        <v>1458.7394510243523</v>
      </c>
      <c r="BS23" s="38">
        <v>1</v>
      </c>
      <c r="BT23" s="22">
        <f t="shared" si="178"/>
        <v>135.29808408250869</v>
      </c>
      <c r="BU23" s="22">
        <f t="shared" si="168"/>
        <v>135.29808408250869</v>
      </c>
      <c r="BV23" s="22">
        <f t="shared" si="168"/>
        <v>135.29808408250869</v>
      </c>
      <c r="BW23" s="22">
        <f t="shared" si="168"/>
        <v>135.29808408250869</v>
      </c>
      <c r="BX23" s="22">
        <f t="shared" si="168"/>
        <v>135.29808408250869</v>
      </c>
      <c r="BY23" s="22">
        <f t="shared" si="168"/>
        <v>135.29808408250869</v>
      </c>
      <c r="BZ23" s="22">
        <f t="shared" si="168"/>
        <v>135.29808408250869</v>
      </c>
      <c r="CA23" s="22">
        <f t="shared" si="168"/>
        <v>135.29808408250869</v>
      </c>
      <c r="CB23" s="22">
        <f t="shared" si="168"/>
        <v>135.29808408250869</v>
      </c>
      <c r="CC23" s="22">
        <f t="shared" si="168"/>
        <v>135.29808408250869</v>
      </c>
      <c r="CD23" s="22">
        <f t="shared" si="168"/>
        <v>135.29808408250869</v>
      </c>
      <c r="CE23" s="22">
        <f t="shared" si="168"/>
        <v>135.29808408250869</v>
      </c>
      <c r="CF23" s="30">
        <f t="shared" si="154"/>
        <v>1623.5770089901043</v>
      </c>
      <c r="CG23" s="38">
        <v>1</v>
      </c>
      <c r="CH23" s="22">
        <f t="shared" si="179"/>
        <v>150.58676758383217</v>
      </c>
      <c r="CI23" s="22">
        <f t="shared" si="169"/>
        <v>150.58676758383217</v>
      </c>
      <c r="CJ23" s="22">
        <f t="shared" si="169"/>
        <v>150.58676758383217</v>
      </c>
      <c r="CK23" s="22">
        <f t="shared" si="169"/>
        <v>150.58676758383217</v>
      </c>
      <c r="CL23" s="22">
        <f t="shared" si="169"/>
        <v>150.58676758383217</v>
      </c>
      <c r="CM23" s="22">
        <f t="shared" si="169"/>
        <v>150.58676758383217</v>
      </c>
      <c r="CN23" s="22">
        <f t="shared" si="169"/>
        <v>150.58676758383217</v>
      </c>
      <c r="CO23" s="22">
        <f t="shared" si="169"/>
        <v>150.58676758383217</v>
      </c>
      <c r="CP23" s="22">
        <f t="shared" si="169"/>
        <v>150.58676758383217</v>
      </c>
      <c r="CQ23" s="22">
        <f t="shared" si="169"/>
        <v>150.58676758383217</v>
      </c>
      <c r="CR23" s="22">
        <f t="shared" si="169"/>
        <v>150.58676758383217</v>
      </c>
      <c r="CS23" s="22">
        <f t="shared" si="169"/>
        <v>150.58676758383217</v>
      </c>
      <c r="CT23" s="30">
        <f t="shared" si="156"/>
        <v>1807.041211005986</v>
      </c>
      <c r="CU23" s="38">
        <v>1</v>
      </c>
      <c r="CV23" s="22">
        <f t="shared" si="180"/>
        <v>167.60307232080521</v>
      </c>
      <c r="CW23" s="22">
        <f t="shared" si="170"/>
        <v>167.60307232080521</v>
      </c>
      <c r="CX23" s="22">
        <f t="shared" si="170"/>
        <v>167.60307232080521</v>
      </c>
      <c r="CY23" s="22">
        <f t="shared" si="170"/>
        <v>167.60307232080521</v>
      </c>
      <c r="CZ23" s="22">
        <f t="shared" si="170"/>
        <v>167.60307232080521</v>
      </c>
      <c r="DA23" s="22">
        <f t="shared" si="170"/>
        <v>167.60307232080521</v>
      </c>
      <c r="DB23" s="22">
        <f t="shared" si="170"/>
        <v>167.60307232080521</v>
      </c>
      <c r="DC23" s="22">
        <f t="shared" si="170"/>
        <v>167.60307232080521</v>
      </c>
      <c r="DD23" s="22">
        <f t="shared" si="170"/>
        <v>167.60307232080521</v>
      </c>
      <c r="DE23" s="22">
        <f t="shared" si="170"/>
        <v>167.60307232080521</v>
      </c>
      <c r="DF23" s="22">
        <f t="shared" si="170"/>
        <v>167.60307232080521</v>
      </c>
      <c r="DG23" s="22">
        <f t="shared" si="170"/>
        <v>167.60307232080521</v>
      </c>
      <c r="DH23" s="30">
        <f t="shared" si="158"/>
        <v>2011.236867849663</v>
      </c>
      <c r="DI23" s="38">
        <v>1</v>
      </c>
      <c r="DJ23" s="22">
        <f t="shared" si="181"/>
        <v>186.54221949305622</v>
      </c>
      <c r="DK23" s="22">
        <f t="shared" si="171"/>
        <v>186.54221949305622</v>
      </c>
      <c r="DL23" s="22">
        <f t="shared" si="171"/>
        <v>186.54221949305622</v>
      </c>
      <c r="DM23" s="22">
        <f t="shared" si="171"/>
        <v>186.54221949305622</v>
      </c>
      <c r="DN23" s="22">
        <f t="shared" si="171"/>
        <v>186.54221949305622</v>
      </c>
      <c r="DO23" s="22">
        <f t="shared" si="171"/>
        <v>186.54221949305622</v>
      </c>
      <c r="DP23" s="22">
        <f t="shared" si="171"/>
        <v>186.54221949305622</v>
      </c>
      <c r="DQ23" s="22">
        <f t="shared" si="171"/>
        <v>186.54221949305622</v>
      </c>
      <c r="DR23" s="22">
        <f t="shared" si="171"/>
        <v>186.54221949305622</v>
      </c>
      <c r="DS23" s="22">
        <f t="shared" si="171"/>
        <v>186.54221949305622</v>
      </c>
      <c r="DT23" s="22">
        <f t="shared" si="171"/>
        <v>186.54221949305622</v>
      </c>
      <c r="DU23" s="22">
        <f t="shared" si="171"/>
        <v>186.54221949305622</v>
      </c>
      <c r="DV23" s="30">
        <f t="shared" si="160"/>
        <v>2238.5066339166742</v>
      </c>
      <c r="DW23" s="38">
        <v>1</v>
      </c>
      <c r="DX23" s="22">
        <f t="shared" si="182"/>
        <v>207.62149029577159</v>
      </c>
      <c r="DY23" s="22">
        <f t="shared" si="172"/>
        <v>207.62149029577159</v>
      </c>
      <c r="DZ23" s="22">
        <f t="shared" si="172"/>
        <v>207.62149029577159</v>
      </c>
      <c r="EA23" s="22">
        <f t="shared" si="172"/>
        <v>207.62149029577159</v>
      </c>
      <c r="EB23" s="22">
        <f t="shared" si="172"/>
        <v>207.62149029577159</v>
      </c>
      <c r="EC23" s="22">
        <f t="shared" si="172"/>
        <v>207.62149029577159</v>
      </c>
      <c r="ED23" s="22">
        <f t="shared" si="172"/>
        <v>207.62149029577159</v>
      </c>
      <c r="EE23" s="22">
        <f t="shared" si="172"/>
        <v>207.62149029577159</v>
      </c>
      <c r="EF23" s="22">
        <f t="shared" si="172"/>
        <v>207.62149029577159</v>
      </c>
      <c r="EG23" s="22">
        <f t="shared" si="172"/>
        <v>207.62149029577159</v>
      </c>
      <c r="EH23" s="22">
        <f t="shared" si="172"/>
        <v>207.62149029577159</v>
      </c>
      <c r="EI23" s="22">
        <f t="shared" si="172"/>
        <v>207.62149029577159</v>
      </c>
      <c r="EJ23" s="30">
        <f t="shared" si="162"/>
        <v>2491.4578835492593</v>
      </c>
    </row>
    <row r="24" spans="1:140">
      <c r="A24" s="8" t="s">
        <v>77</v>
      </c>
      <c r="B24" s="22">
        <v>600</v>
      </c>
      <c r="C24" s="22">
        <f t="shared" si="173"/>
        <v>600</v>
      </c>
      <c r="D24" s="22">
        <f t="shared" si="173"/>
        <v>600</v>
      </c>
      <c r="E24" s="22">
        <f t="shared" si="173"/>
        <v>600</v>
      </c>
      <c r="F24" s="22">
        <f t="shared" si="173"/>
        <v>600</v>
      </c>
      <c r="G24" s="22">
        <f t="shared" si="173"/>
        <v>600</v>
      </c>
      <c r="H24" s="22">
        <f t="shared" si="173"/>
        <v>600</v>
      </c>
      <c r="I24" s="22">
        <f t="shared" si="173"/>
        <v>600</v>
      </c>
      <c r="J24" s="22">
        <f t="shared" si="173"/>
        <v>600</v>
      </c>
      <c r="K24" s="22">
        <f t="shared" si="173"/>
        <v>600</v>
      </c>
      <c r="L24" s="22">
        <f t="shared" si="173"/>
        <v>600</v>
      </c>
      <c r="M24" s="22">
        <f t="shared" si="173"/>
        <v>600</v>
      </c>
      <c r="N24" s="30">
        <f t="shared" si="144"/>
        <v>7200</v>
      </c>
      <c r="O24" s="38">
        <v>1</v>
      </c>
      <c r="P24" s="22">
        <f t="shared" si="174"/>
        <v>661.26</v>
      </c>
      <c r="Q24" s="22">
        <f t="shared" si="164"/>
        <v>661.26</v>
      </c>
      <c r="R24" s="22">
        <f t="shared" si="164"/>
        <v>661.26</v>
      </c>
      <c r="S24" s="22">
        <f t="shared" si="164"/>
        <v>661.26</v>
      </c>
      <c r="T24" s="22">
        <f t="shared" si="164"/>
        <v>661.26</v>
      </c>
      <c r="U24" s="22">
        <f t="shared" si="164"/>
        <v>661.26</v>
      </c>
      <c r="V24" s="22">
        <f t="shared" si="164"/>
        <v>661.26</v>
      </c>
      <c r="W24" s="22">
        <f t="shared" si="164"/>
        <v>661.26</v>
      </c>
      <c r="X24" s="22">
        <f t="shared" si="164"/>
        <v>661.26</v>
      </c>
      <c r="Y24" s="22">
        <f t="shared" si="164"/>
        <v>661.26</v>
      </c>
      <c r="Z24" s="22">
        <f t="shared" si="164"/>
        <v>661.26</v>
      </c>
      <c r="AA24" s="22">
        <f t="shared" si="164"/>
        <v>661.26</v>
      </c>
      <c r="AB24" s="30">
        <f t="shared" si="146"/>
        <v>7935.1200000000017</v>
      </c>
      <c r="AC24" s="38">
        <v>1</v>
      </c>
      <c r="AD24" s="22">
        <f t="shared" si="175"/>
        <v>735.98238000000003</v>
      </c>
      <c r="AE24" s="22">
        <f t="shared" si="165"/>
        <v>735.98238000000003</v>
      </c>
      <c r="AF24" s="22">
        <f t="shared" si="165"/>
        <v>735.98238000000003</v>
      </c>
      <c r="AG24" s="22">
        <f t="shared" si="165"/>
        <v>735.98238000000003</v>
      </c>
      <c r="AH24" s="22">
        <f t="shared" si="165"/>
        <v>735.98238000000003</v>
      </c>
      <c r="AI24" s="22">
        <f t="shared" si="165"/>
        <v>735.98238000000003</v>
      </c>
      <c r="AJ24" s="22">
        <f t="shared" si="165"/>
        <v>735.98238000000003</v>
      </c>
      <c r="AK24" s="22">
        <f t="shared" si="165"/>
        <v>735.98238000000003</v>
      </c>
      <c r="AL24" s="22">
        <f t="shared" si="165"/>
        <v>735.98238000000003</v>
      </c>
      <c r="AM24" s="22">
        <f t="shared" si="165"/>
        <v>735.98238000000003</v>
      </c>
      <c r="AN24" s="22">
        <f t="shared" si="165"/>
        <v>735.98238000000003</v>
      </c>
      <c r="AO24" s="22">
        <f t="shared" si="165"/>
        <v>735.98238000000003</v>
      </c>
      <c r="AP24" s="30">
        <f t="shared" si="148"/>
        <v>8831.7885600000027</v>
      </c>
      <c r="AQ24" s="38">
        <v>1</v>
      </c>
      <c r="AR24" s="22">
        <f t="shared" si="176"/>
        <v>819.14838894000013</v>
      </c>
      <c r="AS24" s="22">
        <f t="shared" si="166"/>
        <v>819.14838894000013</v>
      </c>
      <c r="AT24" s="22">
        <f t="shared" si="166"/>
        <v>819.14838894000013</v>
      </c>
      <c r="AU24" s="22">
        <f t="shared" si="166"/>
        <v>819.14838894000013</v>
      </c>
      <c r="AV24" s="22">
        <f t="shared" si="166"/>
        <v>819.14838894000013</v>
      </c>
      <c r="AW24" s="22">
        <f t="shared" si="166"/>
        <v>819.14838894000013</v>
      </c>
      <c r="AX24" s="22">
        <f t="shared" si="166"/>
        <v>819.14838894000013</v>
      </c>
      <c r="AY24" s="22">
        <f t="shared" si="166"/>
        <v>819.14838894000013</v>
      </c>
      <c r="AZ24" s="22">
        <f t="shared" si="166"/>
        <v>819.14838894000013</v>
      </c>
      <c r="BA24" s="22">
        <f t="shared" si="166"/>
        <v>819.14838894000013</v>
      </c>
      <c r="BB24" s="22">
        <f t="shared" si="166"/>
        <v>819.14838894000013</v>
      </c>
      <c r="BC24" s="22">
        <f t="shared" si="166"/>
        <v>819.14838894000013</v>
      </c>
      <c r="BD24" s="30">
        <f t="shared" si="150"/>
        <v>9829.7806672800034</v>
      </c>
      <c r="BE24" s="38">
        <v>1</v>
      </c>
      <c r="BF24" s="22">
        <f t="shared" si="177"/>
        <v>911.71215689022017</v>
      </c>
      <c r="BG24" s="22">
        <f t="shared" si="167"/>
        <v>911.71215689022017</v>
      </c>
      <c r="BH24" s="22">
        <f t="shared" si="167"/>
        <v>911.71215689022017</v>
      </c>
      <c r="BI24" s="22">
        <f t="shared" si="167"/>
        <v>911.71215689022017</v>
      </c>
      <c r="BJ24" s="22">
        <f t="shared" si="167"/>
        <v>911.71215689022017</v>
      </c>
      <c r="BK24" s="22">
        <f t="shared" si="167"/>
        <v>911.71215689022017</v>
      </c>
      <c r="BL24" s="22">
        <f t="shared" si="167"/>
        <v>911.71215689022017</v>
      </c>
      <c r="BM24" s="22">
        <f t="shared" si="167"/>
        <v>911.71215689022017</v>
      </c>
      <c r="BN24" s="22">
        <f t="shared" si="167"/>
        <v>911.71215689022017</v>
      </c>
      <c r="BO24" s="22">
        <f t="shared" si="167"/>
        <v>911.71215689022017</v>
      </c>
      <c r="BP24" s="22">
        <f t="shared" si="167"/>
        <v>911.71215689022017</v>
      </c>
      <c r="BQ24" s="22">
        <f t="shared" si="167"/>
        <v>911.71215689022017</v>
      </c>
      <c r="BR24" s="30">
        <f t="shared" si="152"/>
        <v>10940.545882682642</v>
      </c>
      <c r="BS24" s="38">
        <v>1</v>
      </c>
      <c r="BT24" s="22">
        <f t="shared" si="178"/>
        <v>1014.7356306188152</v>
      </c>
      <c r="BU24" s="22">
        <f t="shared" si="168"/>
        <v>1014.7356306188152</v>
      </c>
      <c r="BV24" s="22">
        <f t="shared" si="168"/>
        <v>1014.7356306188152</v>
      </c>
      <c r="BW24" s="22">
        <f t="shared" si="168"/>
        <v>1014.7356306188152</v>
      </c>
      <c r="BX24" s="22">
        <f t="shared" si="168"/>
        <v>1014.7356306188152</v>
      </c>
      <c r="BY24" s="22">
        <f t="shared" si="168"/>
        <v>1014.7356306188152</v>
      </c>
      <c r="BZ24" s="22">
        <f t="shared" si="168"/>
        <v>1014.7356306188152</v>
      </c>
      <c r="CA24" s="22">
        <f t="shared" si="168"/>
        <v>1014.7356306188152</v>
      </c>
      <c r="CB24" s="22">
        <f t="shared" si="168"/>
        <v>1014.7356306188152</v>
      </c>
      <c r="CC24" s="22">
        <f t="shared" si="168"/>
        <v>1014.7356306188152</v>
      </c>
      <c r="CD24" s="22">
        <f t="shared" si="168"/>
        <v>1014.7356306188152</v>
      </c>
      <c r="CE24" s="22">
        <f t="shared" si="168"/>
        <v>1014.7356306188152</v>
      </c>
      <c r="CF24" s="30">
        <f t="shared" si="154"/>
        <v>12176.827567425784</v>
      </c>
      <c r="CG24" s="38">
        <v>1</v>
      </c>
      <c r="CH24" s="22">
        <f t="shared" si="179"/>
        <v>1129.4007568787415</v>
      </c>
      <c r="CI24" s="22">
        <f t="shared" si="169"/>
        <v>1129.4007568787415</v>
      </c>
      <c r="CJ24" s="22">
        <f t="shared" si="169"/>
        <v>1129.4007568787415</v>
      </c>
      <c r="CK24" s="22">
        <f t="shared" si="169"/>
        <v>1129.4007568787415</v>
      </c>
      <c r="CL24" s="22">
        <f t="shared" si="169"/>
        <v>1129.4007568787415</v>
      </c>
      <c r="CM24" s="22">
        <f t="shared" si="169"/>
        <v>1129.4007568787415</v>
      </c>
      <c r="CN24" s="22">
        <f t="shared" si="169"/>
        <v>1129.4007568787415</v>
      </c>
      <c r="CO24" s="22">
        <f t="shared" si="169"/>
        <v>1129.4007568787415</v>
      </c>
      <c r="CP24" s="22">
        <f t="shared" si="169"/>
        <v>1129.4007568787415</v>
      </c>
      <c r="CQ24" s="22">
        <f t="shared" si="169"/>
        <v>1129.4007568787415</v>
      </c>
      <c r="CR24" s="22">
        <f t="shared" si="169"/>
        <v>1129.4007568787415</v>
      </c>
      <c r="CS24" s="22">
        <f t="shared" si="169"/>
        <v>1129.4007568787415</v>
      </c>
      <c r="CT24" s="30">
        <f t="shared" si="156"/>
        <v>13552.809082544902</v>
      </c>
      <c r="CU24" s="38">
        <v>1</v>
      </c>
      <c r="CV24" s="22">
        <f t="shared" si="180"/>
        <v>1257.0230424060396</v>
      </c>
      <c r="CW24" s="22">
        <f t="shared" si="170"/>
        <v>1257.0230424060396</v>
      </c>
      <c r="CX24" s="22">
        <f t="shared" si="170"/>
        <v>1257.0230424060396</v>
      </c>
      <c r="CY24" s="22">
        <f t="shared" si="170"/>
        <v>1257.0230424060396</v>
      </c>
      <c r="CZ24" s="22">
        <f t="shared" si="170"/>
        <v>1257.0230424060396</v>
      </c>
      <c r="DA24" s="22">
        <f t="shared" si="170"/>
        <v>1257.0230424060396</v>
      </c>
      <c r="DB24" s="22">
        <f t="shared" si="170"/>
        <v>1257.0230424060396</v>
      </c>
      <c r="DC24" s="22">
        <f t="shared" si="170"/>
        <v>1257.0230424060396</v>
      </c>
      <c r="DD24" s="22">
        <f t="shared" si="170"/>
        <v>1257.0230424060396</v>
      </c>
      <c r="DE24" s="22">
        <f t="shared" si="170"/>
        <v>1257.0230424060396</v>
      </c>
      <c r="DF24" s="22">
        <f t="shared" si="170"/>
        <v>1257.0230424060396</v>
      </c>
      <c r="DG24" s="22">
        <f t="shared" si="170"/>
        <v>1257.0230424060396</v>
      </c>
      <c r="DH24" s="30">
        <f t="shared" si="158"/>
        <v>15084.276508872472</v>
      </c>
      <c r="DI24" s="38">
        <v>1</v>
      </c>
      <c r="DJ24" s="22">
        <f t="shared" si="181"/>
        <v>1399.0666461979222</v>
      </c>
      <c r="DK24" s="22">
        <f t="shared" si="171"/>
        <v>1399.0666461979222</v>
      </c>
      <c r="DL24" s="22">
        <f t="shared" si="171"/>
        <v>1399.0666461979222</v>
      </c>
      <c r="DM24" s="22">
        <f t="shared" si="171"/>
        <v>1399.0666461979222</v>
      </c>
      <c r="DN24" s="22">
        <f t="shared" si="171"/>
        <v>1399.0666461979222</v>
      </c>
      <c r="DO24" s="22">
        <f t="shared" si="171"/>
        <v>1399.0666461979222</v>
      </c>
      <c r="DP24" s="22">
        <f t="shared" si="171"/>
        <v>1399.0666461979222</v>
      </c>
      <c r="DQ24" s="22">
        <f t="shared" si="171"/>
        <v>1399.0666461979222</v>
      </c>
      <c r="DR24" s="22">
        <f t="shared" si="171"/>
        <v>1399.0666461979222</v>
      </c>
      <c r="DS24" s="22">
        <f t="shared" si="171"/>
        <v>1399.0666461979222</v>
      </c>
      <c r="DT24" s="22">
        <f t="shared" si="171"/>
        <v>1399.0666461979222</v>
      </c>
      <c r="DU24" s="22">
        <f t="shared" si="171"/>
        <v>1399.0666461979222</v>
      </c>
      <c r="DV24" s="30">
        <f t="shared" si="160"/>
        <v>16788.799754375064</v>
      </c>
      <c r="DW24" s="38">
        <v>1</v>
      </c>
      <c r="DX24" s="22">
        <f t="shared" si="182"/>
        <v>1557.1611772182875</v>
      </c>
      <c r="DY24" s="22">
        <f t="shared" si="172"/>
        <v>1557.1611772182875</v>
      </c>
      <c r="DZ24" s="22">
        <f t="shared" si="172"/>
        <v>1557.1611772182875</v>
      </c>
      <c r="EA24" s="22">
        <f t="shared" si="172"/>
        <v>1557.1611772182875</v>
      </c>
      <c r="EB24" s="22">
        <f t="shared" si="172"/>
        <v>1557.1611772182875</v>
      </c>
      <c r="EC24" s="22">
        <f t="shared" si="172"/>
        <v>1557.1611772182875</v>
      </c>
      <c r="ED24" s="22">
        <f t="shared" si="172"/>
        <v>1557.1611772182875</v>
      </c>
      <c r="EE24" s="22">
        <f t="shared" si="172"/>
        <v>1557.1611772182875</v>
      </c>
      <c r="EF24" s="22">
        <f t="shared" si="172"/>
        <v>1557.1611772182875</v>
      </c>
      <c r="EG24" s="22">
        <f t="shared" si="172"/>
        <v>1557.1611772182875</v>
      </c>
      <c r="EH24" s="22">
        <f t="shared" si="172"/>
        <v>1557.1611772182875</v>
      </c>
      <c r="EI24" s="22">
        <f t="shared" si="172"/>
        <v>1557.1611772182875</v>
      </c>
      <c r="EJ24" s="30">
        <f t="shared" si="162"/>
        <v>18685.93412661945</v>
      </c>
    </row>
    <row r="25" spans="1:140">
      <c r="A25" s="8" t="s">
        <v>233</v>
      </c>
      <c r="B25" s="22">
        <v>100</v>
      </c>
      <c r="C25" s="22">
        <f t="shared" si="173"/>
        <v>100</v>
      </c>
      <c r="D25" s="22">
        <f t="shared" si="173"/>
        <v>100</v>
      </c>
      <c r="E25" s="22">
        <f t="shared" si="173"/>
        <v>100</v>
      </c>
      <c r="F25" s="22">
        <f t="shared" si="173"/>
        <v>100</v>
      </c>
      <c r="G25" s="22">
        <f t="shared" si="173"/>
        <v>100</v>
      </c>
      <c r="H25" s="22">
        <f t="shared" si="173"/>
        <v>100</v>
      </c>
      <c r="I25" s="22">
        <f t="shared" si="173"/>
        <v>100</v>
      </c>
      <c r="J25" s="22">
        <f t="shared" si="173"/>
        <v>100</v>
      </c>
      <c r="K25" s="22">
        <f t="shared" si="173"/>
        <v>100</v>
      </c>
      <c r="L25" s="22">
        <f t="shared" si="173"/>
        <v>100</v>
      </c>
      <c r="M25" s="22">
        <f t="shared" si="173"/>
        <v>100</v>
      </c>
      <c r="N25" s="30">
        <f t="shared" si="144"/>
        <v>1200</v>
      </c>
      <c r="O25" s="38">
        <v>1</v>
      </c>
      <c r="P25" s="22">
        <f t="shared" si="174"/>
        <v>110.21000000000001</v>
      </c>
      <c r="Q25" s="22">
        <f t="shared" si="164"/>
        <v>110.21000000000001</v>
      </c>
      <c r="R25" s="22">
        <f t="shared" si="164"/>
        <v>110.21000000000001</v>
      </c>
      <c r="S25" s="22">
        <f t="shared" si="164"/>
        <v>110.21000000000001</v>
      </c>
      <c r="T25" s="22">
        <f t="shared" si="164"/>
        <v>110.21000000000001</v>
      </c>
      <c r="U25" s="22">
        <f t="shared" si="164"/>
        <v>110.21000000000001</v>
      </c>
      <c r="V25" s="22">
        <f t="shared" si="164"/>
        <v>110.21000000000001</v>
      </c>
      <c r="W25" s="22">
        <f t="shared" si="164"/>
        <v>110.21000000000001</v>
      </c>
      <c r="X25" s="22">
        <f t="shared" si="164"/>
        <v>110.21000000000001</v>
      </c>
      <c r="Y25" s="22">
        <f t="shared" si="164"/>
        <v>110.21000000000001</v>
      </c>
      <c r="Z25" s="22">
        <f t="shared" si="164"/>
        <v>110.21000000000001</v>
      </c>
      <c r="AA25" s="22">
        <f t="shared" si="164"/>
        <v>110.21000000000001</v>
      </c>
      <c r="AB25" s="30">
        <f t="shared" si="146"/>
        <v>1322.5200000000002</v>
      </c>
      <c r="AC25" s="38">
        <v>1</v>
      </c>
      <c r="AD25" s="22">
        <f t="shared" si="175"/>
        <v>122.66373000000003</v>
      </c>
      <c r="AE25" s="22">
        <f t="shared" si="165"/>
        <v>122.66373000000003</v>
      </c>
      <c r="AF25" s="22">
        <f t="shared" si="165"/>
        <v>122.66373000000003</v>
      </c>
      <c r="AG25" s="22">
        <f t="shared" si="165"/>
        <v>122.66373000000003</v>
      </c>
      <c r="AH25" s="22">
        <f t="shared" si="165"/>
        <v>122.66373000000003</v>
      </c>
      <c r="AI25" s="22">
        <f t="shared" si="165"/>
        <v>122.66373000000003</v>
      </c>
      <c r="AJ25" s="22">
        <f t="shared" si="165"/>
        <v>122.66373000000003</v>
      </c>
      <c r="AK25" s="22">
        <f t="shared" si="165"/>
        <v>122.66373000000003</v>
      </c>
      <c r="AL25" s="22">
        <f t="shared" si="165"/>
        <v>122.66373000000003</v>
      </c>
      <c r="AM25" s="22">
        <f t="shared" si="165"/>
        <v>122.66373000000003</v>
      </c>
      <c r="AN25" s="22">
        <f t="shared" si="165"/>
        <v>122.66373000000003</v>
      </c>
      <c r="AO25" s="22">
        <f t="shared" si="165"/>
        <v>122.66373000000003</v>
      </c>
      <c r="AP25" s="30">
        <f t="shared" si="148"/>
        <v>1471.9647600000001</v>
      </c>
      <c r="AQ25" s="38">
        <v>1</v>
      </c>
      <c r="AR25" s="22">
        <f t="shared" si="176"/>
        <v>136.52473149000005</v>
      </c>
      <c r="AS25" s="22">
        <f t="shared" si="166"/>
        <v>136.52473149000005</v>
      </c>
      <c r="AT25" s="22">
        <f t="shared" si="166"/>
        <v>136.52473149000005</v>
      </c>
      <c r="AU25" s="22">
        <f t="shared" si="166"/>
        <v>136.52473149000005</v>
      </c>
      <c r="AV25" s="22">
        <f t="shared" si="166"/>
        <v>136.52473149000005</v>
      </c>
      <c r="AW25" s="22">
        <f t="shared" si="166"/>
        <v>136.52473149000005</v>
      </c>
      <c r="AX25" s="22">
        <f t="shared" si="166"/>
        <v>136.52473149000005</v>
      </c>
      <c r="AY25" s="22">
        <f t="shared" si="166"/>
        <v>136.52473149000005</v>
      </c>
      <c r="AZ25" s="22">
        <f t="shared" si="166"/>
        <v>136.52473149000005</v>
      </c>
      <c r="BA25" s="22">
        <f t="shared" si="166"/>
        <v>136.52473149000005</v>
      </c>
      <c r="BB25" s="22">
        <f t="shared" si="166"/>
        <v>136.52473149000005</v>
      </c>
      <c r="BC25" s="22">
        <f t="shared" si="166"/>
        <v>136.52473149000005</v>
      </c>
      <c r="BD25" s="30">
        <f t="shared" si="150"/>
        <v>1638.2967778800005</v>
      </c>
      <c r="BE25" s="38">
        <v>1</v>
      </c>
      <c r="BF25" s="22">
        <f t="shared" si="177"/>
        <v>151.95202614837007</v>
      </c>
      <c r="BG25" s="22">
        <f t="shared" si="167"/>
        <v>151.95202614837007</v>
      </c>
      <c r="BH25" s="22">
        <f t="shared" si="167"/>
        <v>151.95202614837007</v>
      </c>
      <c r="BI25" s="22">
        <f t="shared" si="167"/>
        <v>151.95202614837007</v>
      </c>
      <c r="BJ25" s="22">
        <f t="shared" si="167"/>
        <v>151.95202614837007</v>
      </c>
      <c r="BK25" s="22">
        <f t="shared" si="167"/>
        <v>151.95202614837007</v>
      </c>
      <c r="BL25" s="22">
        <f t="shared" si="167"/>
        <v>151.95202614837007</v>
      </c>
      <c r="BM25" s="22">
        <f t="shared" si="167"/>
        <v>151.95202614837007</v>
      </c>
      <c r="BN25" s="22">
        <f t="shared" si="167"/>
        <v>151.95202614837007</v>
      </c>
      <c r="BO25" s="22">
        <f t="shared" si="167"/>
        <v>151.95202614837007</v>
      </c>
      <c r="BP25" s="22">
        <f t="shared" si="167"/>
        <v>151.95202614837007</v>
      </c>
      <c r="BQ25" s="22">
        <f t="shared" si="167"/>
        <v>151.95202614837007</v>
      </c>
      <c r="BR25" s="30">
        <f t="shared" si="152"/>
        <v>1823.4243137804413</v>
      </c>
      <c r="BS25" s="38">
        <v>1</v>
      </c>
      <c r="BT25" s="22">
        <f t="shared" si="178"/>
        <v>169.1226051031359</v>
      </c>
      <c r="BU25" s="22">
        <f t="shared" si="168"/>
        <v>169.1226051031359</v>
      </c>
      <c r="BV25" s="22">
        <f t="shared" si="168"/>
        <v>169.1226051031359</v>
      </c>
      <c r="BW25" s="22">
        <f t="shared" si="168"/>
        <v>169.1226051031359</v>
      </c>
      <c r="BX25" s="22">
        <f t="shared" si="168"/>
        <v>169.1226051031359</v>
      </c>
      <c r="BY25" s="22">
        <f t="shared" si="168"/>
        <v>169.1226051031359</v>
      </c>
      <c r="BZ25" s="22">
        <f t="shared" si="168"/>
        <v>169.1226051031359</v>
      </c>
      <c r="CA25" s="22">
        <f t="shared" si="168"/>
        <v>169.1226051031359</v>
      </c>
      <c r="CB25" s="22">
        <f t="shared" si="168"/>
        <v>169.1226051031359</v>
      </c>
      <c r="CC25" s="22">
        <f t="shared" si="168"/>
        <v>169.1226051031359</v>
      </c>
      <c r="CD25" s="22">
        <f t="shared" si="168"/>
        <v>169.1226051031359</v>
      </c>
      <c r="CE25" s="22">
        <f t="shared" si="168"/>
        <v>169.1226051031359</v>
      </c>
      <c r="CF25" s="30">
        <f t="shared" si="154"/>
        <v>2029.4712612376304</v>
      </c>
      <c r="CG25" s="38">
        <v>1</v>
      </c>
      <c r="CH25" s="22">
        <f t="shared" si="179"/>
        <v>188.23345947979027</v>
      </c>
      <c r="CI25" s="22">
        <f t="shared" si="169"/>
        <v>188.23345947979027</v>
      </c>
      <c r="CJ25" s="22">
        <f t="shared" si="169"/>
        <v>188.23345947979027</v>
      </c>
      <c r="CK25" s="22">
        <f t="shared" si="169"/>
        <v>188.23345947979027</v>
      </c>
      <c r="CL25" s="22">
        <f t="shared" si="169"/>
        <v>188.23345947979027</v>
      </c>
      <c r="CM25" s="22">
        <f t="shared" si="169"/>
        <v>188.23345947979027</v>
      </c>
      <c r="CN25" s="22">
        <f t="shared" si="169"/>
        <v>188.23345947979027</v>
      </c>
      <c r="CO25" s="22">
        <f t="shared" si="169"/>
        <v>188.23345947979027</v>
      </c>
      <c r="CP25" s="22">
        <f t="shared" si="169"/>
        <v>188.23345947979027</v>
      </c>
      <c r="CQ25" s="22">
        <f t="shared" si="169"/>
        <v>188.23345947979027</v>
      </c>
      <c r="CR25" s="22">
        <f t="shared" si="169"/>
        <v>188.23345947979027</v>
      </c>
      <c r="CS25" s="22">
        <f t="shared" si="169"/>
        <v>188.23345947979027</v>
      </c>
      <c r="CT25" s="30">
        <f t="shared" si="156"/>
        <v>2258.8015137574835</v>
      </c>
      <c r="CU25" s="38">
        <v>1</v>
      </c>
      <c r="CV25" s="22">
        <f t="shared" si="180"/>
        <v>209.50384040100658</v>
      </c>
      <c r="CW25" s="22">
        <f t="shared" si="170"/>
        <v>209.50384040100658</v>
      </c>
      <c r="CX25" s="22">
        <f t="shared" si="170"/>
        <v>209.50384040100658</v>
      </c>
      <c r="CY25" s="22">
        <f t="shared" si="170"/>
        <v>209.50384040100658</v>
      </c>
      <c r="CZ25" s="22">
        <f t="shared" si="170"/>
        <v>209.50384040100658</v>
      </c>
      <c r="DA25" s="22">
        <f t="shared" si="170"/>
        <v>209.50384040100658</v>
      </c>
      <c r="DB25" s="22">
        <f t="shared" si="170"/>
        <v>209.50384040100658</v>
      </c>
      <c r="DC25" s="22">
        <f t="shared" si="170"/>
        <v>209.50384040100658</v>
      </c>
      <c r="DD25" s="22">
        <f t="shared" si="170"/>
        <v>209.50384040100658</v>
      </c>
      <c r="DE25" s="22">
        <f t="shared" si="170"/>
        <v>209.50384040100658</v>
      </c>
      <c r="DF25" s="22">
        <f t="shared" si="170"/>
        <v>209.50384040100658</v>
      </c>
      <c r="DG25" s="22">
        <f t="shared" si="170"/>
        <v>209.50384040100658</v>
      </c>
      <c r="DH25" s="30">
        <f t="shared" si="158"/>
        <v>2514.0460848120788</v>
      </c>
      <c r="DI25" s="38">
        <v>1</v>
      </c>
      <c r="DJ25" s="22">
        <f t="shared" si="181"/>
        <v>233.17777436632036</v>
      </c>
      <c r="DK25" s="22">
        <f t="shared" si="171"/>
        <v>233.17777436632036</v>
      </c>
      <c r="DL25" s="22">
        <f t="shared" si="171"/>
        <v>233.17777436632036</v>
      </c>
      <c r="DM25" s="22">
        <f t="shared" si="171"/>
        <v>233.17777436632036</v>
      </c>
      <c r="DN25" s="22">
        <f t="shared" si="171"/>
        <v>233.17777436632036</v>
      </c>
      <c r="DO25" s="22">
        <f t="shared" si="171"/>
        <v>233.17777436632036</v>
      </c>
      <c r="DP25" s="22">
        <f t="shared" si="171"/>
        <v>233.17777436632036</v>
      </c>
      <c r="DQ25" s="22">
        <f t="shared" si="171"/>
        <v>233.17777436632036</v>
      </c>
      <c r="DR25" s="22">
        <f t="shared" si="171"/>
        <v>233.17777436632036</v>
      </c>
      <c r="DS25" s="22">
        <f t="shared" si="171"/>
        <v>233.17777436632036</v>
      </c>
      <c r="DT25" s="22">
        <f t="shared" si="171"/>
        <v>233.17777436632036</v>
      </c>
      <c r="DU25" s="22">
        <f t="shared" si="171"/>
        <v>233.17777436632036</v>
      </c>
      <c r="DV25" s="30">
        <f t="shared" si="160"/>
        <v>2798.1332923958453</v>
      </c>
      <c r="DW25" s="38">
        <v>1</v>
      </c>
      <c r="DX25" s="22">
        <f t="shared" si="182"/>
        <v>259.52686286971459</v>
      </c>
      <c r="DY25" s="22">
        <f t="shared" si="172"/>
        <v>259.52686286971459</v>
      </c>
      <c r="DZ25" s="22">
        <f t="shared" si="172"/>
        <v>259.52686286971459</v>
      </c>
      <c r="EA25" s="22">
        <f t="shared" si="172"/>
        <v>259.52686286971459</v>
      </c>
      <c r="EB25" s="22">
        <f t="shared" si="172"/>
        <v>259.52686286971459</v>
      </c>
      <c r="EC25" s="22">
        <f t="shared" si="172"/>
        <v>259.52686286971459</v>
      </c>
      <c r="ED25" s="22">
        <f t="shared" si="172"/>
        <v>259.52686286971459</v>
      </c>
      <c r="EE25" s="22">
        <f t="shared" si="172"/>
        <v>259.52686286971459</v>
      </c>
      <c r="EF25" s="22">
        <f t="shared" si="172"/>
        <v>259.52686286971459</v>
      </c>
      <c r="EG25" s="22">
        <f t="shared" si="172"/>
        <v>259.52686286971459</v>
      </c>
      <c r="EH25" s="22">
        <f t="shared" si="172"/>
        <v>259.52686286971459</v>
      </c>
      <c r="EI25" s="22">
        <f t="shared" si="172"/>
        <v>259.52686286971459</v>
      </c>
      <c r="EJ25" s="30">
        <f t="shared" si="162"/>
        <v>3114.3223544365742</v>
      </c>
    </row>
    <row r="26" spans="1:140">
      <c r="A26" s="18" t="s">
        <v>234</v>
      </c>
      <c r="B26" s="30">
        <f>SUM(B27:B29)</f>
        <v>25400</v>
      </c>
      <c r="C26" s="30">
        <f t="shared" ref="C26:M26" si="183">SUM(C27:C29)</f>
        <v>25400</v>
      </c>
      <c r="D26" s="30">
        <f t="shared" si="183"/>
        <v>25400</v>
      </c>
      <c r="E26" s="30">
        <f t="shared" si="183"/>
        <v>25400</v>
      </c>
      <c r="F26" s="30">
        <f t="shared" si="183"/>
        <v>25400</v>
      </c>
      <c r="G26" s="30">
        <f t="shared" si="183"/>
        <v>25400</v>
      </c>
      <c r="H26" s="30">
        <f t="shared" si="183"/>
        <v>25400</v>
      </c>
      <c r="I26" s="30">
        <f t="shared" si="183"/>
        <v>25400</v>
      </c>
      <c r="J26" s="30">
        <f t="shared" si="183"/>
        <v>25400</v>
      </c>
      <c r="K26" s="30">
        <f t="shared" si="183"/>
        <v>25400</v>
      </c>
      <c r="L26" s="30">
        <f t="shared" si="183"/>
        <v>25400</v>
      </c>
      <c r="M26" s="30">
        <f t="shared" si="183"/>
        <v>25400</v>
      </c>
      <c r="N26" s="30">
        <f t="shared" si="144"/>
        <v>304800</v>
      </c>
      <c r="O26" s="38"/>
      <c r="P26" s="30">
        <f>SUM(P27:P29)</f>
        <v>27178</v>
      </c>
      <c r="Q26" s="30">
        <f t="shared" ref="Q26" si="184">SUM(Q27:Q29)</f>
        <v>27178</v>
      </c>
      <c r="R26" s="30">
        <f t="shared" ref="R26" si="185">SUM(R27:R29)</f>
        <v>27178</v>
      </c>
      <c r="S26" s="30">
        <f t="shared" ref="S26" si="186">SUM(S27:S29)</f>
        <v>27178</v>
      </c>
      <c r="T26" s="30">
        <f t="shared" ref="T26" si="187">SUM(T27:T29)</f>
        <v>27178</v>
      </c>
      <c r="U26" s="30">
        <f t="shared" ref="U26" si="188">SUM(U27:U29)</f>
        <v>27178</v>
      </c>
      <c r="V26" s="30">
        <f t="shared" ref="V26" si="189">SUM(V27:V29)</f>
        <v>27178</v>
      </c>
      <c r="W26" s="30">
        <f t="shared" ref="W26" si="190">SUM(W27:W29)</f>
        <v>27178</v>
      </c>
      <c r="X26" s="30">
        <f t="shared" ref="X26" si="191">SUM(X27:X29)</f>
        <v>27178</v>
      </c>
      <c r="Y26" s="30">
        <f t="shared" ref="Y26" si="192">SUM(Y27:Y29)</f>
        <v>27178</v>
      </c>
      <c r="Z26" s="30">
        <f t="shared" ref="Z26" si="193">SUM(Z27:Z29)</f>
        <v>27178</v>
      </c>
      <c r="AA26" s="30">
        <f t="shared" ref="AA26" si="194">SUM(AA27:AA29)</f>
        <v>27178</v>
      </c>
      <c r="AB26" s="30">
        <f t="shared" si="146"/>
        <v>326136</v>
      </c>
      <c r="AC26" s="38"/>
      <c r="AD26" s="30">
        <f>SUM(AD27:AD29)</f>
        <v>28808.68</v>
      </c>
      <c r="AE26" s="30">
        <f t="shared" ref="AE26" si="195">SUM(AE27:AE29)</f>
        <v>28808.68</v>
      </c>
      <c r="AF26" s="30">
        <f t="shared" ref="AF26" si="196">SUM(AF27:AF29)</f>
        <v>28808.68</v>
      </c>
      <c r="AG26" s="30">
        <f t="shared" ref="AG26" si="197">SUM(AG27:AG29)</f>
        <v>28808.68</v>
      </c>
      <c r="AH26" s="30">
        <f t="shared" ref="AH26" si="198">SUM(AH27:AH29)</f>
        <v>28808.68</v>
      </c>
      <c r="AI26" s="30">
        <f t="shared" ref="AI26" si="199">SUM(AI27:AI29)</f>
        <v>28808.68</v>
      </c>
      <c r="AJ26" s="30">
        <f t="shared" ref="AJ26" si="200">SUM(AJ27:AJ29)</f>
        <v>28808.68</v>
      </c>
      <c r="AK26" s="30">
        <f t="shared" ref="AK26" si="201">SUM(AK27:AK29)</f>
        <v>28808.68</v>
      </c>
      <c r="AL26" s="30">
        <f t="shared" ref="AL26" si="202">SUM(AL27:AL29)</f>
        <v>28808.68</v>
      </c>
      <c r="AM26" s="30">
        <f t="shared" ref="AM26" si="203">SUM(AM27:AM29)</f>
        <v>28808.68</v>
      </c>
      <c r="AN26" s="30">
        <f t="shared" ref="AN26" si="204">SUM(AN27:AN29)</f>
        <v>28808.68</v>
      </c>
      <c r="AO26" s="30">
        <f t="shared" ref="AO26" si="205">SUM(AO27:AO29)</f>
        <v>28808.68</v>
      </c>
      <c r="AP26" s="30">
        <f t="shared" si="148"/>
        <v>345704.16</v>
      </c>
      <c r="AQ26" s="38"/>
      <c r="AR26" s="30">
        <f>SUM(AR27:AR29)</f>
        <v>30537.200800000006</v>
      </c>
      <c r="AS26" s="30">
        <f t="shared" ref="AS26" si="206">SUM(AS27:AS29)</f>
        <v>30537.200800000006</v>
      </c>
      <c r="AT26" s="30">
        <f t="shared" ref="AT26" si="207">SUM(AT27:AT29)</f>
        <v>30537.200800000006</v>
      </c>
      <c r="AU26" s="30">
        <f t="shared" ref="AU26" si="208">SUM(AU27:AU29)</f>
        <v>30537.200800000006</v>
      </c>
      <c r="AV26" s="30">
        <f t="shared" ref="AV26" si="209">SUM(AV27:AV29)</f>
        <v>30537.200800000006</v>
      </c>
      <c r="AW26" s="30">
        <f t="shared" ref="AW26" si="210">SUM(AW27:AW29)</f>
        <v>30537.200800000006</v>
      </c>
      <c r="AX26" s="30">
        <f t="shared" ref="AX26" si="211">SUM(AX27:AX29)</f>
        <v>30537.200800000006</v>
      </c>
      <c r="AY26" s="30">
        <f t="shared" ref="AY26" si="212">SUM(AY27:AY29)</f>
        <v>30537.200800000006</v>
      </c>
      <c r="AZ26" s="30">
        <f t="shared" ref="AZ26" si="213">SUM(AZ27:AZ29)</f>
        <v>30537.200800000006</v>
      </c>
      <c r="BA26" s="30">
        <f t="shared" ref="BA26" si="214">SUM(BA27:BA29)</f>
        <v>30537.200800000006</v>
      </c>
      <c r="BB26" s="30">
        <f t="shared" ref="BB26" si="215">SUM(BB27:BB29)</f>
        <v>30537.200800000006</v>
      </c>
      <c r="BC26" s="30">
        <f t="shared" ref="BC26" si="216">SUM(BC27:BC29)</f>
        <v>30537.200800000006</v>
      </c>
      <c r="BD26" s="30">
        <f t="shared" si="150"/>
        <v>366446.40959999996</v>
      </c>
      <c r="BE26" s="38"/>
      <c r="BF26" s="30">
        <f>SUM(BF27:BF29)</f>
        <v>32369.432848000004</v>
      </c>
      <c r="BG26" s="30">
        <f t="shared" ref="BG26" si="217">SUM(BG27:BG29)</f>
        <v>32369.432848000004</v>
      </c>
      <c r="BH26" s="30">
        <f t="shared" ref="BH26" si="218">SUM(BH27:BH29)</f>
        <v>32369.432848000004</v>
      </c>
      <c r="BI26" s="30">
        <f t="shared" ref="BI26" si="219">SUM(BI27:BI29)</f>
        <v>32369.432848000004</v>
      </c>
      <c r="BJ26" s="30">
        <f t="shared" ref="BJ26" si="220">SUM(BJ27:BJ29)</f>
        <v>32369.432848000004</v>
      </c>
      <c r="BK26" s="30">
        <f t="shared" ref="BK26" si="221">SUM(BK27:BK29)</f>
        <v>32369.432848000004</v>
      </c>
      <c r="BL26" s="30">
        <f t="shared" ref="BL26" si="222">SUM(BL27:BL29)</f>
        <v>32369.432848000004</v>
      </c>
      <c r="BM26" s="30">
        <f t="shared" ref="BM26" si="223">SUM(BM27:BM29)</f>
        <v>32369.432848000004</v>
      </c>
      <c r="BN26" s="30">
        <f t="shared" ref="BN26" si="224">SUM(BN27:BN29)</f>
        <v>32369.432848000004</v>
      </c>
      <c r="BO26" s="30">
        <f t="shared" ref="BO26" si="225">SUM(BO27:BO29)</f>
        <v>32369.432848000004</v>
      </c>
      <c r="BP26" s="30">
        <f t="shared" ref="BP26" si="226">SUM(BP27:BP29)</f>
        <v>32369.432848000004</v>
      </c>
      <c r="BQ26" s="30">
        <f t="shared" ref="BQ26" si="227">SUM(BQ27:BQ29)</f>
        <v>32369.432848000004</v>
      </c>
      <c r="BR26" s="30">
        <f t="shared" si="152"/>
        <v>388433.19417600008</v>
      </c>
      <c r="BS26" s="38"/>
      <c r="BT26" s="30">
        <f>SUM(BT27:BT29)</f>
        <v>34311.598818880011</v>
      </c>
      <c r="BU26" s="30">
        <f t="shared" ref="BU26" si="228">SUM(BU27:BU29)</f>
        <v>34311.598818880011</v>
      </c>
      <c r="BV26" s="30">
        <f t="shared" ref="BV26" si="229">SUM(BV27:BV29)</f>
        <v>34311.598818880011</v>
      </c>
      <c r="BW26" s="30">
        <f t="shared" ref="BW26" si="230">SUM(BW27:BW29)</f>
        <v>34311.598818880011</v>
      </c>
      <c r="BX26" s="30">
        <f t="shared" ref="BX26" si="231">SUM(BX27:BX29)</f>
        <v>34311.598818880011</v>
      </c>
      <c r="BY26" s="30">
        <f t="shared" ref="BY26" si="232">SUM(BY27:BY29)</f>
        <v>34311.598818880011</v>
      </c>
      <c r="BZ26" s="30">
        <f t="shared" ref="BZ26" si="233">SUM(BZ27:BZ29)</f>
        <v>34311.598818880011</v>
      </c>
      <c r="CA26" s="30">
        <f t="shared" ref="CA26" si="234">SUM(CA27:CA29)</f>
        <v>34311.598818880011</v>
      </c>
      <c r="CB26" s="30">
        <f t="shared" ref="CB26" si="235">SUM(CB27:CB29)</f>
        <v>34311.598818880011</v>
      </c>
      <c r="CC26" s="30">
        <f t="shared" ref="CC26" si="236">SUM(CC27:CC29)</f>
        <v>34311.598818880011</v>
      </c>
      <c r="CD26" s="30">
        <f t="shared" ref="CD26" si="237">SUM(CD27:CD29)</f>
        <v>34311.598818880011</v>
      </c>
      <c r="CE26" s="30">
        <f t="shared" ref="CE26" si="238">SUM(CE27:CE29)</f>
        <v>34311.598818880011</v>
      </c>
      <c r="CF26" s="30">
        <f t="shared" si="154"/>
        <v>411739.18582656025</v>
      </c>
      <c r="CG26" s="38"/>
      <c r="CH26" s="30">
        <f>SUM(CH27:CH29)</f>
        <v>36370.294748012806</v>
      </c>
      <c r="CI26" s="30">
        <f t="shared" ref="CI26" si="239">SUM(CI27:CI29)</f>
        <v>36370.294748012806</v>
      </c>
      <c r="CJ26" s="30">
        <f t="shared" ref="CJ26" si="240">SUM(CJ27:CJ29)</f>
        <v>36370.294748012806</v>
      </c>
      <c r="CK26" s="30">
        <f t="shared" ref="CK26" si="241">SUM(CK27:CK29)</f>
        <v>36370.294748012806</v>
      </c>
      <c r="CL26" s="30">
        <f t="shared" ref="CL26" si="242">SUM(CL27:CL29)</f>
        <v>36370.294748012806</v>
      </c>
      <c r="CM26" s="30">
        <f t="shared" ref="CM26" si="243">SUM(CM27:CM29)</f>
        <v>36370.294748012806</v>
      </c>
      <c r="CN26" s="30">
        <f t="shared" ref="CN26" si="244">SUM(CN27:CN29)</f>
        <v>36370.294748012806</v>
      </c>
      <c r="CO26" s="30">
        <f t="shared" ref="CO26" si="245">SUM(CO27:CO29)</f>
        <v>36370.294748012806</v>
      </c>
      <c r="CP26" s="30">
        <f t="shared" ref="CP26" si="246">SUM(CP27:CP29)</f>
        <v>36370.294748012806</v>
      </c>
      <c r="CQ26" s="30">
        <f t="shared" ref="CQ26" si="247">SUM(CQ27:CQ29)</f>
        <v>36370.294748012806</v>
      </c>
      <c r="CR26" s="30">
        <f t="shared" ref="CR26" si="248">SUM(CR27:CR29)</f>
        <v>36370.294748012806</v>
      </c>
      <c r="CS26" s="30">
        <f t="shared" ref="CS26" si="249">SUM(CS27:CS29)</f>
        <v>36370.294748012806</v>
      </c>
      <c r="CT26" s="30">
        <f t="shared" si="156"/>
        <v>436443.53697615355</v>
      </c>
      <c r="CU26" s="38"/>
      <c r="CV26" s="30">
        <f>SUM(CV27:CV29)</f>
        <v>38552.512432893578</v>
      </c>
      <c r="CW26" s="30">
        <f t="shared" ref="CW26" si="250">SUM(CW27:CW29)</f>
        <v>38552.512432893578</v>
      </c>
      <c r="CX26" s="30">
        <f t="shared" ref="CX26" si="251">SUM(CX27:CX29)</f>
        <v>38552.512432893578</v>
      </c>
      <c r="CY26" s="30">
        <f t="shared" ref="CY26" si="252">SUM(CY27:CY29)</f>
        <v>38552.512432893578</v>
      </c>
      <c r="CZ26" s="30">
        <f t="shared" ref="CZ26" si="253">SUM(CZ27:CZ29)</f>
        <v>38552.512432893578</v>
      </c>
      <c r="DA26" s="30">
        <f t="shared" ref="DA26" si="254">SUM(DA27:DA29)</f>
        <v>38552.512432893578</v>
      </c>
      <c r="DB26" s="30">
        <f t="shared" ref="DB26" si="255">SUM(DB27:DB29)</f>
        <v>38552.512432893578</v>
      </c>
      <c r="DC26" s="30">
        <f t="shared" ref="DC26" si="256">SUM(DC27:DC29)</f>
        <v>38552.512432893578</v>
      </c>
      <c r="DD26" s="30">
        <f t="shared" ref="DD26" si="257">SUM(DD27:DD29)</f>
        <v>38552.512432893578</v>
      </c>
      <c r="DE26" s="30">
        <f t="shared" ref="DE26" si="258">SUM(DE27:DE29)</f>
        <v>38552.512432893578</v>
      </c>
      <c r="DF26" s="30">
        <f t="shared" ref="DF26" si="259">SUM(DF27:DF29)</f>
        <v>38552.512432893578</v>
      </c>
      <c r="DG26" s="30">
        <f t="shared" ref="DG26" si="260">SUM(DG27:DG29)</f>
        <v>38552.512432893578</v>
      </c>
      <c r="DH26" s="30">
        <f t="shared" si="158"/>
        <v>462630.14919472282</v>
      </c>
      <c r="DI26" s="38"/>
      <c r="DJ26" s="30">
        <f>SUM(DJ27:DJ29)</f>
        <v>40865.663178867195</v>
      </c>
      <c r="DK26" s="30">
        <f t="shared" ref="DK26" si="261">SUM(DK27:DK29)</f>
        <v>40865.663178867195</v>
      </c>
      <c r="DL26" s="30">
        <f t="shared" ref="DL26" si="262">SUM(DL27:DL29)</f>
        <v>40865.663178867195</v>
      </c>
      <c r="DM26" s="30">
        <f t="shared" ref="DM26" si="263">SUM(DM27:DM29)</f>
        <v>40865.663178867195</v>
      </c>
      <c r="DN26" s="30">
        <f t="shared" ref="DN26" si="264">SUM(DN27:DN29)</f>
        <v>40865.663178867195</v>
      </c>
      <c r="DO26" s="30">
        <f t="shared" ref="DO26" si="265">SUM(DO27:DO29)</f>
        <v>40865.663178867195</v>
      </c>
      <c r="DP26" s="30">
        <f t="shared" ref="DP26" si="266">SUM(DP27:DP29)</f>
        <v>40865.663178867195</v>
      </c>
      <c r="DQ26" s="30">
        <f t="shared" ref="DQ26" si="267">SUM(DQ27:DQ29)</f>
        <v>40865.663178867195</v>
      </c>
      <c r="DR26" s="30">
        <f t="shared" ref="DR26" si="268">SUM(DR27:DR29)</f>
        <v>40865.663178867195</v>
      </c>
      <c r="DS26" s="30">
        <f t="shared" ref="DS26" si="269">SUM(DS27:DS29)</f>
        <v>40865.663178867195</v>
      </c>
      <c r="DT26" s="30">
        <f t="shared" ref="DT26" si="270">SUM(DT27:DT29)</f>
        <v>40865.663178867195</v>
      </c>
      <c r="DU26" s="30">
        <f t="shared" ref="DU26" si="271">SUM(DU27:DU29)</f>
        <v>40865.663178867195</v>
      </c>
      <c r="DV26" s="30">
        <f t="shared" si="160"/>
        <v>490387.95814640634</v>
      </c>
      <c r="DW26" s="38"/>
      <c r="DX26" s="30">
        <f>SUM(DX27:DX29)</f>
        <v>43317.602969599233</v>
      </c>
      <c r="DY26" s="30">
        <f t="shared" ref="DY26" si="272">SUM(DY27:DY29)</f>
        <v>43317.602969599233</v>
      </c>
      <c r="DZ26" s="30">
        <f t="shared" ref="DZ26" si="273">SUM(DZ27:DZ29)</f>
        <v>43317.602969599233</v>
      </c>
      <c r="EA26" s="30">
        <f t="shared" ref="EA26" si="274">SUM(EA27:EA29)</f>
        <v>43317.602969599233</v>
      </c>
      <c r="EB26" s="30">
        <f t="shared" ref="EB26" si="275">SUM(EB27:EB29)</f>
        <v>43317.602969599233</v>
      </c>
      <c r="EC26" s="30">
        <f t="shared" ref="EC26" si="276">SUM(EC27:EC29)</f>
        <v>43317.602969599233</v>
      </c>
      <c r="ED26" s="30">
        <f t="shared" ref="ED26" si="277">SUM(ED27:ED29)</f>
        <v>43317.602969599233</v>
      </c>
      <c r="EE26" s="30">
        <f t="shared" ref="EE26" si="278">SUM(EE27:EE29)</f>
        <v>43317.602969599233</v>
      </c>
      <c r="EF26" s="30">
        <f t="shared" ref="EF26" si="279">SUM(EF27:EF29)</f>
        <v>43317.602969599233</v>
      </c>
      <c r="EG26" s="30">
        <f t="shared" ref="EG26" si="280">SUM(EG27:EG29)</f>
        <v>43317.602969599233</v>
      </c>
      <c r="EH26" s="30">
        <f t="shared" ref="EH26" si="281">SUM(EH27:EH29)</f>
        <v>43317.602969599233</v>
      </c>
      <c r="EI26" s="30">
        <f t="shared" ref="EI26" si="282">SUM(EI27:EI29)</f>
        <v>43317.602969599233</v>
      </c>
      <c r="EJ26" s="30">
        <f t="shared" si="162"/>
        <v>519811.23563519091</v>
      </c>
    </row>
    <row r="27" spans="1:140">
      <c r="A27" s="8" t="s">
        <v>235</v>
      </c>
      <c r="B27" s="22">
        <v>8000</v>
      </c>
      <c r="C27" s="22">
        <f t="shared" si="173"/>
        <v>8000</v>
      </c>
      <c r="D27" s="22">
        <f t="shared" ref="D27:M27" si="283">C27*(1+D$3)</f>
        <v>8000</v>
      </c>
      <c r="E27" s="22">
        <f t="shared" si="283"/>
        <v>8000</v>
      </c>
      <c r="F27" s="22">
        <f t="shared" si="283"/>
        <v>8000</v>
      </c>
      <c r="G27" s="22">
        <f t="shared" si="283"/>
        <v>8000</v>
      </c>
      <c r="H27" s="22">
        <f t="shared" si="283"/>
        <v>8000</v>
      </c>
      <c r="I27" s="22">
        <f t="shared" si="283"/>
        <v>8000</v>
      </c>
      <c r="J27" s="22">
        <f t="shared" si="283"/>
        <v>8000</v>
      </c>
      <c r="K27" s="22">
        <f t="shared" si="283"/>
        <v>8000</v>
      </c>
      <c r="L27" s="22">
        <f t="shared" si="283"/>
        <v>8000</v>
      </c>
      <c r="M27" s="22">
        <f t="shared" si="283"/>
        <v>8000</v>
      </c>
      <c r="N27" s="30">
        <f t="shared" si="144"/>
        <v>96000</v>
      </c>
      <c r="O27" s="38">
        <v>1</v>
      </c>
      <c r="P27" s="22">
        <f>$O27*B27*(1+$P$4)</f>
        <v>8560</v>
      </c>
      <c r="Q27" s="22">
        <f t="shared" ref="Q27:AA29" si="284">$O27*C27*(1+$P$4)</f>
        <v>8560</v>
      </c>
      <c r="R27" s="22">
        <f t="shared" si="284"/>
        <v>8560</v>
      </c>
      <c r="S27" s="22">
        <f t="shared" si="284"/>
        <v>8560</v>
      </c>
      <c r="T27" s="22">
        <f t="shared" si="284"/>
        <v>8560</v>
      </c>
      <c r="U27" s="22">
        <f t="shared" si="284"/>
        <v>8560</v>
      </c>
      <c r="V27" s="22">
        <f t="shared" si="284"/>
        <v>8560</v>
      </c>
      <c r="W27" s="22">
        <f t="shared" si="284"/>
        <v>8560</v>
      </c>
      <c r="X27" s="22">
        <f t="shared" si="284"/>
        <v>8560</v>
      </c>
      <c r="Y27" s="22">
        <f t="shared" si="284"/>
        <v>8560</v>
      </c>
      <c r="Z27" s="22">
        <f t="shared" si="284"/>
        <v>8560</v>
      </c>
      <c r="AA27" s="22">
        <f t="shared" si="284"/>
        <v>8560</v>
      </c>
      <c r="AB27" s="30">
        <f t="shared" si="146"/>
        <v>102720</v>
      </c>
      <c r="AC27" s="38">
        <v>1</v>
      </c>
      <c r="AD27" s="22">
        <f>$AC27*P27*(1+$AD$4)</f>
        <v>9073.6</v>
      </c>
      <c r="AE27" s="22">
        <f t="shared" ref="AE27:AO29" si="285">$AC27*Q27*(1+$AD$4)</f>
        <v>9073.6</v>
      </c>
      <c r="AF27" s="22">
        <f t="shared" si="285"/>
        <v>9073.6</v>
      </c>
      <c r="AG27" s="22">
        <f t="shared" si="285"/>
        <v>9073.6</v>
      </c>
      <c r="AH27" s="22">
        <f t="shared" si="285"/>
        <v>9073.6</v>
      </c>
      <c r="AI27" s="22">
        <f t="shared" si="285"/>
        <v>9073.6</v>
      </c>
      <c r="AJ27" s="22">
        <f t="shared" si="285"/>
        <v>9073.6</v>
      </c>
      <c r="AK27" s="22">
        <f t="shared" si="285"/>
        <v>9073.6</v>
      </c>
      <c r="AL27" s="22">
        <f t="shared" si="285"/>
        <v>9073.6</v>
      </c>
      <c r="AM27" s="22">
        <f t="shared" si="285"/>
        <v>9073.6</v>
      </c>
      <c r="AN27" s="22">
        <f t="shared" si="285"/>
        <v>9073.6</v>
      </c>
      <c r="AO27" s="22">
        <f t="shared" si="285"/>
        <v>9073.6</v>
      </c>
      <c r="AP27" s="30">
        <f t="shared" si="148"/>
        <v>108883.20000000003</v>
      </c>
      <c r="AQ27" s="38">
        <v>1</v>
      </c>
      <c r="AR27" s="22">
        <f>$AQ27*AD27*(1+$AR$4)</f>
        <v>9618.0160000000014</v>
      </c>
      <c r="AS27" s="22">
        <f t="shared" ref="AS27:BC29" si="286">$AQ27*AE27*(1+$AR$4)</f>
        <v>9618.0160000000014</v>
      </c>
      <c r="AT27" s="22">
        <f t="shared" si="286"/>
        <v>9618.0160000000014</v>
      </c>
      <c r="AU27" s="22">
        <f t="shared" si="286"/>
        <v>9618.0160000000014</v>
      </c>
      <c r="AV27" s="22">
        <f t="shared" si="286"/>
        <v>9618.0160000000014</v>
      </c>
      <c r="AW27" s="22">
        <f t="shared" si="286"/>
        <v>9618.0160000000014</v>
      </c>
      <c r="AX27" s="22">
        <f t="shared" si="286"/>
        <v>9618.0160000000014</v>
      </c>
      <c r="AY27" s="22">
        <f t="shared" si="286"/>
        <v>9618.0160000000014</v>
      </c>
      <c r="AZ27" s="22">
        <f t="shared" si="286"/>
        <v>9618.0160000000014</v>
      </c>
      <c r="BA27" s="22">
        <f t="shared" si="286"/>
        <v>9618.0160000000014</v>
      </c>
      <c r="BB27" s="22">
        <f t="shared" si="286"/>
        <v>9618.0160000000014</v>
      </c>
      <c r="BC27" s="22">
        <f t="shared" si="286"/>
        <v>9618.0160000000014</v>
      </c>
      <c r="BD27" s="30">
        <f t="shared" si="150"/>
        <v>115416.19200000002</v>
      </c>
      <c r="BE27" s="38">
        <v>1</v>
      </c>
      <c r="BF27" s="22">
        <f>$BE27*AR27*(1+$BF$4)</f>
        <v>10195.096960000003</v>
      </c>
      <c r="BG27" s="22">
        <f t="shared" ref="BG27:BQ29" si="287">$BE27*AS27*(1+$BF$4)</f>
        <v>10195.096960000003</v>
      </c>
      <c r="BH27" s="22">
        <f t="shared" si="287"/>
        <v>10195.096960000003</v>
      </c>
      <c r="BI27" s="22">
        <f t="shared" si="287"/>
        <v>10195.096960000003</v>
      </c>
      <c r="BJ27" s="22">
        <f t="shared" si="287"/>
        <v>10195.096960000003</v>
      </c>
      <c r="BK27" s="22">
        <f t="shared" si="287"/>
        <v>10195.096960000003</v>
      </c>
      <c r="BL27" s="22">
        <f t="shared" si="287"/>
        <v>10195.096960000003</v>
      </c>
      <c r="BM27" s="22">
        <f t="shared" si="287"/>
        <v>10195.096960000003</v>
      </c>
      <c r="BN27" s="22">
        <f t="shared" si="287"/>
        <v>10195.096960000003</v>
      </c>
      <c r="BO27" s="22">
        <f t="shared" si="287"/>
        <v>10195.096960000003</v>
      </c>
      <c r="BP27" s="22">
        <f t="shared" si="287"/>
        <v>10195.096960000003</v>
      </c>
      <c r="BQ27" s="22">
        <f t="shared" si="287"/>
        <v>10195.096960000003</v>
      </c>
      <c r="BR27" s="30">
        <f t="shared" si="152"/>
        <v>122341.16352</v>
      </c>
      <c r="BS27" s="38">
        <v>1</v>
      </c>
      <c r="BT27" s="22">
        <f>$BS27*BF27*(1+$BT$4)</f>
        <v>10806.802777600004</v>
      </c>
      <c r="BU27" s="22">
        <f t="shared" ref="BU27:CE29" si="288">$BS27*BG27*(1+$BT$4)</f>
        <v>10806.802777600004</v>
      </c>
      <c r="BV27" s="22">
        <f t="shared" si="288"/>
        <v>10806.802777600004</v>
      </c>
      <c r="BW27" s="22">
        <f t="shared" si="288"/>
        <v>10806.802777600004</v>
      </c>
      <c r="BX27" s="22">
        <f t="shared" si="288"/>
        <v>10806.802777600004</v>
      </c>
      <c r="BY27" s="22">
        <f t="shared" si="288"/>
        <v>10806.802777600004</v>
      </c>
      <c r="BZ27" s="22">
        <f t="shared" si="288"/>
        <v>10806.802777600004</v>
      </c>
      <c r="CA27" s="22">
        <f t="shared" si="288"/>
        <v>10806.802777600004</v>
      </c>
      <c r="CB27" s="22">
        <f t="shared" si="288"/>
        <v>10806.802777600004</v>
      </c>
      <c r="CC27" s="22">
        <f t="shared" si="288"/>
        <v>10806.802777600004</v>
      </c>
      <c r="CD27" s="22">
        <f t="shared" si="288"/>
        <v>10806.802777600004</v>
      </c>
      <c r="CE27" s="22">
        <f t="shared" si="288"/>
        <v>10806.802777600004</v>
      </c>
      <c r="CF27" s="30">
        <f t="shared" si="154"/>
        <v>129681.63333120006</v>
      </c>
      <c r="CG27" s="38">
        <v>1</v>
      </c>
      <c r="CH27" s="22">
        <f>$CG27*BT27*(1+$CH$4)</f>
        <v>11455.210944256005</v>
      </c>
      <c r="CI27" s="22">
        <f t="shared" ref="CI27:CS29" si="289">$CG27*BU27*(1+$CH$4)</f>
        <v>11455.210944256005</v>
      </c>
      <c r="CJ27" s="22">
        <f t="shared" si="289"/>
        <v>11455.210944256005</v>
      </c>
      <c r="CK27" s="22">
        <f t="shared" si="289"/>
        <v>11455.210944256005</v>
      </c>
      <c r="CL27" s="22">
        <f t="shared" si="289"/>
        <v>11455.210944256005</v>
      </c>
      <c r="CM27" s="22">
        <f t="shared" si="289"/>
        <v>11455.210944256005</v>
      </c>
      <c r="CN27" s="22">
        <f t="shared" si="289"/>
        <v>11455.210944256005</v>
      </c>
      <c r="CO27" s="22">
        <f t="shared" si="289"/>
        <v>11455.210944256005</v>
      </c>
      <c r="CP27" s="22">
        <f t="shared" si="289"/>
        <v>11455.210944256005</v>
      </c>
      <c r="CQ27" s="22">
        <f t="shared" si="289"/>
        <v>11455.210944256005</v>
      </c>
      <c r="CR27" s="22">
        <f t="shared" si="289"/>
        <v>11455.210944256005</v>
      </c>
      <c r="CS27" s="22">
        <f t="shared" si="289"/>
        <v>11455.210944256005</v>
      </c>
      <c r="CT27" s="30">
        <f t="shared" si="156"/>
        <v>137462.53133107207</v>
      </c>
      <c r="CU27" s="38">
        <v>1</v>
      </c>
      <c r="CV27" s="22">
        <f>$CU27*CH27*(1+$CV$4)</f>
        <v>12142.523600911365</v>
      </c>
      <c r="CW27" s="22">
        <f t="shared" ref="CW27:DG29" si="290">$CU27*CI27*(1+$CV$4)</f>
        <v>12142.523600911365</v>
      </c>
      <c r="CX27" s="22">
        <f t="shared" si="290"/>
        <v>12142.523600911365</v>
      </c>
      <c r="CY27" s="22">
        <f t="shared" si="290"/>
        <v>12142.523600911365</v>
      </c>
      <c r="CZ27" s="22">
        <f t="shared" si="290"/>
        <v>12142.523600911365</v>
      </c>
      <c r="DA27" s="22">
        <f t="shared" si="290"/>
        <v>12142.523600911365</v>
      </c>
      <c r="DB27" s="22">
        <f t="shared" si="290"/>
        <v>12142.523600911365</v>
      </c>
      <c r="DC27" s="22">
        <f t="shared" si="290"/>
        <v>12142.523600911365</v>
      </c>
      <c r="DD27" s="22">
        <f t="shared" si="290"/>
        <v>12142.523600911365</v>
      </c>
      <c r="DE27" s="22">
        <f t="shared" si="290"/>
        <v>12142.523600911365</v>
      </c>
      <c r="DF27" s="22">
        <f t="shared" si="290"/>
        <v>12142.523600911365</v>
      </c>
      <c r="DG27" s="22">
        <f t="shared" si="290"/>
        <v>12142.523600911365</v>
      </c>
      <c r="DH27" s="30">
        <f t="shared" si="158"/>
        <v>145710.28321093641</v>
      </c>
      <c r="DI27" s="38">
        <v>1</v>
      </c>
      <c r="DJ27" s="22">
        <f>$DI27*CV27*(1+$DJ$4)</f>
        <v>12871.075016966048</v>
      </c>
      <c r="DK27" s="22">
        <f t="shared" ref="DK27:DU29" si="291">$DI27*CW27*(1+$DJ$4)</f>
        <v>12871.075016966048</v>
      </c>
      <c r="DL27" s="22">
        <f t="shared" si="291"/>
        <v>12871.075016966048</v>
      </c>
      <c r="DM27" s="22">
        <f t="shared" si="291"/>
        <v>12871.075016966048</v>
      </c>
      <c r="DN27" s="22">
        <f t="shared" si="291"/>
        <v>12871.075016966048</v>
      </c>
      <c r="DO27" s="22">
        <f t="shared" si="291"/>
        <v>12871.075016966048</v>
      </c>
      <c r="DP27" s="22">
        <f t="shared" si="291"/>
        <v>12871.075016966048</v>
      </c>
      <c r="DQ27" s="22">
        <f t="shared" si="291"/>
        <v>12871.075016966048</v>
      </c>
      <c r="DR27" s="22">
        <f t="shared" si="291"/>
        <v>12871.075016966048</v>
      </c>
      <c r="DS27" s="22">
        <f t="shared" si="291"/>
        <v>12871.075016966048</v>
      </c>
      <c r="DT27" s="22">
        <f t="shared" si="291"/>
        <v>12871.075016966048</v>
      </c>
      <c r="DU27" s="22">
        <f t="shared" si="291"/>
        <v>12871.075016966048</v>
      </c>
      <c r="DV27" s="30">
        <f t="shared" si="160"/>
        <v>154452.90020359258</v>
      </c>
      <c r="DW27" s="38">
        <v>1</v>
      </c>
      <c r="DX27" s="22">
        <f>$DW27*DJ27*(1+$DX$4)</f>
        <v>13643.339517984012</v>
      </c>
      <c r="DY27" s="22">
        <f t="shared" ref="DY27:EI29" si="292">$DW27*DK27*(1+$DX$4)</f>
        <v>13643.339517984012</v>
      </c>
      <c r="DZ27" s="22">
        <f t="shared" si="292"/>
        <v>13643.339517984012</v>
      </c>
      <c r="EA27" s="22">
        <f t="shared" si="292"/>
        <v>13643.339517984012</v>
      </c>
      <c r="EB27" s="22">
        <f t="shared" si="292"/>
        <v>13643.339517984012</v>
      </c>
      <c r="EC27" s="22">
        <f t="shared" si="292"/>
        <v>13643.339517984012</v>
      </c>
      <c r="ED27" s="22">
        <f t="shared" si="292"/>
        <v>13643.339517984012</v>
      </c>
      <c r="EE27" s="22">
        <f t="shared" si="292"/>
        <v>13643.339517984012</v>
      </c>
      <c r="EF27" s="22">
        <f t="shared" si="292"/>
        <v>13643.339517984012</v>
      </c>
      <c r="EG27" s="22">
        <f t="shared" si="292"/>
        <v>13643.339517984012</v>
      </c>
      <c r="EH27" s="22">
        <f t="shared" si="292"/>
        <v>13643.339517984012</v>
      </c>
      <c r="EI27" s="22">
        <f t="shared" si="292"/>
        <v>13643.339517984012</v>
      </c>
      <c r="EJ27" s="30">
        <f t="shared" si="162"/>
        <v>163720.07421580816</v>
      </c>
    </row>
    <row r="28" spans="1:140">
      <c r="A28" s="8" t="s">
        <v>56</v>
      </c>
      <c r="B28" s="22">
        <v>8400</v>
      </c>
      <c r="C28" s="22">
        <f t="shared" si="173"/>
        <v>8400</v>
      </c>
      <c r="D28" s="22">
        <f t="shared" ref="D28:M28" si="293">C28*(1+D$3)</f>
        <v>8400</v>
      </c>
      <c r="E28" s="22">
        <f t="shared" si="293"/>
        <v>8400</v>
      </c>
      <c r="F28" s="22">
        <f t="shared" si="293"/>
        <v>8400</v>
      </c>
      <c r="G28" s="22">
        <f t="shared" si="293"/>
        <v>8400</v>
      </c>
      <c r="H28" s="22">
        <f t="shared" si="293"/>
        <v>8400</v>
      </c>
      <c r="I28" s="22">
        <f t="shared" si="293"/>
        <v>8400</v>
      </c>
      <c r="J28" s="22">
        <f t="shared" si="293"/>
        <v>8400</v>
      </c>
      <c r="K28" s="22">
        <f t="shared" si="293"/>
        <v>8400</v>
      </c>
      <c r="L28" s="22">
        <f t="shared" si="293"/>
        <v>8400</v>
      </c>
      <c r="M28" s="22">
        <f t="shared" si="293"/>
        <v>8400</v>
      </c>
      <c r="N28" s="30">
        <f t="shared" si="144"/>
        <v>100800</v>
      </c>
      <c r="O28" s="38">
        <v>1</v>
      </c>
      <c r="P28" s="22">
        <f t="shared" ref="P28:P29" si="294">$O28*B28*(1+$P$4)</f>
        <v>8988</v>
      </c>
      <c r="Q28" s="22">
        <f t="shared" si="284"/>
        <v>8988</v>
      </c>
      <c r="R28" s="22">
        <f t="shared" si="284"/>
        <v>8988</v>
      </c>
      <c r="S28" s="22">
        <f t="shared" si="284"/>
        <v>8988</v>
      </c>
      <c r="T28" s="22">
        <f t="shared" si="284"/>
        <v>8988</v>
      </c>
      <c r="U28" s="22">
        <f t="shared" si="284"/>
        <v>8988</v>
      </c>
      <c r="V28" s="22">
        <f t="shared" si="284"/>
        <v>8988</v>
      </c>
      <c r="W28" s="22">
        <f t="shared" si="284"/>
        <v>8988</v>
      </c>
      <c r="X28" s="22">
        <f t="shared" si="284"/>
        <v>8988</v>
      </c>
      <c r="Y28" s="22">
        <f t="shared" si="284"/>
        <v>8988</v>
      </c>
      <c r="Z28" s="22">
        <f t="shared" si="284"/>
        <v>8988</v>
      </c>
      <c r="AA28" s="22">
        <f t="shared" si="284"/>
        <v>8988</v>
      </c>
      <c r="AB28" s="30">
        <f t="shared" si="146"/>
        <v>107856</v>
      </c>
      <c r="AC28" s="38">
        <v>1</v>
      </c>
      <c r="AD28" s="22">
        <f t="shared" ref="AD28:AD29" si="295">$AC28*P28*(1+$AD$4)</f>
        <v>9527.2800000000007</v>
      </c>
      <c r="AE28" s="22">
        <f t="shared" si="285"/>
        <v>9527.2800000000007</v>
      </c>
      <c r="AF28" s="22">
        <f t="shared" si="285"/>
        <v>9527.2800000000007</v>
      </c>
      <c r="AG28" s="22">
        <f t="shared" si="285"/>
        <v>9527.2800000000007</v>
      </c>
      <c r="AH28" s="22">
        <f t="shared" si="285"/>
        <v>9527.2800000000007</v>
      </c>
      <c r="AI28" s="22">
        <f t="shared" si="285"/>
        <v>9527.2800000000007</v>
      </c>
      <c r="AJ28" s="22">
        <f t="shared" si="285"/>
        <v>9527.2800000000007</v>
      </c>
      <c r="AK28" s="22">
        <f t="shared" si="285"/>
        <v>9527.2800000000007</v>
      </c>
      <c r="AL28" s="22">
        <f t="shared" si="285"/>
        <v>9527.2800000000007</v>
      </c>
      <c r="AM28" s="22">
        <f t="shared" si="285"/>
        <v>9527.2800000000007</v>
      </c>
      <c r="AN28" s="22">
        <f t="shared" si="285"/>
        <v>9527.2800000000007</v>
      </c>
      <c r="AO28" s="22">
        <f t="shared" si="285"/>
        <v>9527.2800000000007</v>
      </c>
      <c r="AP28" s="30">
        <f t="shared" si="148"/>
        <v>114327.36</v>
      </c>
      <c r="AQ28" s="38">
        <v>1</v>
      </c>
      <c r="AR28" s="22">
        <f t="shared" ref="AR28:AR29" si="296">$AQ28*AD28*(1+$AR$4)</f>
        <v>10098.916800000001</v>
      </c>
      <c r="AS28" s="22">
        <f t="shared" si="286"/>
        <v>10098.916800000001</v>
      </c>
      <c r="AT28" s="22">
        <f t="shared" si="286"/>
        <v>10098.916800000001</v>
      </c>
      <c r="AU28" s="22">
        <f t="shared" si="286"/>
        <v>10098.916800000001</v>
      </c>
      <c r="AV28" s="22">
        <f t="shared" si="286"/>
        <v>10098.916800000001</v>
      </c>
      <c r="AW28" s="22">
        <f t="shared" si="286"/>
        <v>10098.916800000001</v>
      </c>
      <c r="AX28" s="22">
        <f t="shared" si="286"/>
        <v>10098.916800000001</v>
      </c>
      <c r="AY28" s="22">
        <f t="shared" si="286"/>
        <v>10098.916800000001</v>
      </c>
      <c r="AZ28" s="22">
        <f t="shared" si="286"/>
        <v>10098.916800000001</v>
      </c>
      <c r="BA28" s="22">
        <f t="shared" si="286"/>
        <v>10098.916800000001</v>
      </c>
      <c r="BB28" s="22">
        <f t="shared" si="286"/>
        <v>10098.916800000001</v>
      </c>
      <c r="BC28" s="22">
        <f t="shared" si="286"/>
        <v>10098.916800000001</v>
      </c>
      <c r="BD28" s="30">
        <f t="shared" si="150"/>
        <v>121187.00160000003</v>
      </c>
      <c r="BE28" s="38">
        <v>1</v>
      </c>
      <c r="BF28" s="22">
        <f t="shared" ref="BF28:BF29" si="297">$BE28*AR28*(1+$BF$4)</f>
        <v>10704.851808000001</v>
      </c>
      <c r="BG28" s="22">
        <f t="shared" si="287"/>
        <v>10704.851808000001</v>
      </c>
      <c r="BH28" s="22">
        <f t="shared" si="287"/>
        <v>10704.851808000001</v>
      </c>
      <c r="BI28" s="22">
        <f t="shared" si="287"/>
        <v>10704.851808000001</v>
      </c>
      <c r="BJ28" s="22">
        <f t="shared" si="287"/>
        <v>10704.851808000001</v>
      </c>
      <c r="BK28" s="22">
        <f t="shared" si="287"/>
        <v>10704.851808000001</v>
      </c>
      <c r="BL28" s="22">
        <f t="shared" si="287"/>
        <v>10704.851808000001</v>
      </c>
      <c r="BM28" s="22">
        <f t="shared" si="287"/>
        <v>10704.851808000001</v>
      </c>
      <c r="BN28" s="22">
        <f t="shared" si="287"/>
        <v>10704.851808000001</v>
      </c>
      <c r="BO28" s="22">
        <f t="shared" si="287"/>
        <v>10704.851808000001</v>
      </c>
      <c r="BP28" s="22">
        <f t="shared" si="287"/>
        <v>10704.851808000001</v>
      </c>
      <c r="BQ28" s="22">
        <f t="shared" si="287"/>
        <v>10704.851808000001</v>
      </c>
      <c r="BR28" s="30">
        <f t="shared" si="152"/>
        <v>128458.22169600004</v>
      </c>
      <c r="BS28" s="38">
        <v>1</v>
      </c>
      <c r="BT28" s="22">
        <f t="shared" ref="BT28:BT29" si="298">$BS28*BF28*(1+$BT$4)</f>
        <v>11347.142916480001</v>
      </c>
      <c r="BU28" s="22">
        <f t="shared" si="288"/>
        <v>11347.142916480001</v>
      </c>
      <c r="BV28" s="22">
        <f t="shared" si="288"/>
        <v>11347.142916480001</v>
      </c>
      <c r="BW28" s="22">
        <f t="shared" si="288"/>
        <v>11347.142916480001</v>
      </c>
      <c r="BX28" s="22">
        <f t="shared" si="288"/>
        <v>11347.142916480001</v>
      </c>
      <c r="BY28" s="22">
        <f t="shared" si="288"/>
        <v>11347.142916480001</v>
      </c>
      <c r="BZ28" s="22">
        <f t="shared" si="288"/>
        <v>11347.142916480001</v>
      </c>
      <c r="CA28" s="22">
        <f t="shared" si="288"/>
        <v>11347.142916480001</v>
      </c>
      <c r="CB28" s="22">
        <f t="shared" si="288"/>
        <v>11347.142916480001</v>
      </c>
      <c r="CC28" s="22">
        <f t="shared" si="288"/>
        <v>11347.142916480001</v>
      </c>
      <c r="CD28" s="22">
        <f t="shared" si="288"/>
        <v>11347.142916480001</v>
      </c>
      <c r="CE28" s="22">
        <f t="shared" si="288"/>
        <v>11347.142916480001</v>
      </c>
      <c r="CF28" s="30">
        <f t="shared" si="154"/>
        <v>136165.71499776005</v>
      </c>
      <c r="CG28" s="38">
        <v>1</v>
      </c>
      <c r="CH28" s="22">
        <f t="shared" ref="CH28:CH29" si="299">$CG28*BT28*(1+$CH$4)</f>
        <v>12027.971491468801</v>
      </c>
      <c r="CI28" s="22">
        <f t="shared" si="289"/>
        <v>12027.971491468801</v>
      </c>
      <c r="CJ28" s="22">
        <f t="shared" si="289"/>
        <v>12027.971491468801</v>
      </c>
      <c r="CK28" s="22">
        <f t="shared" si="289"/>
        <v>12027.971491468801</v>
      </c>
      <c r="CL28" s="22">
        <f t="shared" si="289"/>
        <v>12027.971491468801</v>
      </c>
      <c r="CM28" s="22">
        <f t="shared" si="289"/>
        <v>12027.971491468801</v>
      </c>
      <c r="CN28" s="22">
        <f t="shared" si="289"/>
        <v>12027.971491468801</v>
      </c>
      <c r="CO28" s="22">
        <f t="shared" si="289"/>
        <v>12027.971491468801</v>
      </c>
      <c r="CP28" s="22">
        <f t="shared" si="289"/>
        <v>12027.971491468801</v>
      </c>
      <c r="CQ28" s="22">
        <f t="shared" si="289"/>
        <v>12027.971491468801</v>
      </c>
      <c r="CR28" s="22">
        <f t="shared" si="289"/>
        <v>12027.971491468801</v>
      </c>
      <c r="CS28" s="22">
        <f t="shared" si="289"/>
        <v>12027.971491468801</v>
      </c>
      <c r="CT28" s="30">
        <f t="shared" si="156"/>
        <v>144335.65789762564</v>
      </c>
      <c r="CU28" s="38">
        <v>1</v>
      </c>
      <c r="CV28" s="22">
        <f t="shared" ref="CV28:CV29" si="300">$CU28*CH28*(1+$CV$4)</f>
        <v>12749.64978095693</v>
      </c>
      <c r="CW28" s="22">
        <f t="shared" si="290"/>
        <v>12749.64978095693</v>
      </c>
      <c r="CX28" s="22">
        <f t="shared" si="290"/>
        <v>12749.64978095693</v>
      </c>
      <c r="CY28" s="22">
        <f t="shared" si="290"/>
        <v>12749.64978095693</v>
      </c>
      <c r="CZ28" s="22">
        <f t="shared" si="290"/>
        <v>12749.64978095693</v>
      </c>
      <c r="DA28" s="22">
        <f t="shared" si="290"/>
        <v>12749.64978095693</v>
      </c>
      <c r="DB28" s="22">
        <f t="shared" si="290"/>
        <v>12749.64978095693</v>
      </c>
      <c r="DC28" s="22">
        <f t="shared" si="290"/>
        <v>12749.64978095693</v>
      </c>
      <c r="DD28" s="22">
        <f t="shared" si="290"/>
        <v>12749.64978095693</v>
      </c>
      <c r="DE28" s="22">
        <f t="shared" si="290"/>
        <v>12749.64978095693</v>
      </c>
      <c r="DF28" s="22">
        <f t="shared" si="290"/>
        <v>12749.64978095693</v>
      </c>
      <c r="DG28" s="22">
        <f t="shared" si="290"/>
        <v>12749.64978095693</v>
      </c>
      <c r="DH28" s="30">
        <f t="shared" si="158"/>
        <v>152995.79737148315</v>
      </c>
      <c r="DI28" s="38">
        <v>1</v>
      </c>
      <c r="DJ28" s="22">
        <f t="shared" ref="DJ28:DJ29" si="301">$DI28*CV28*(1+$DJ$4)</f>
        <v>13514.628767814347</v>
      </c>
      <c r="DK28" s="22">
        <f t="shared" si="291"/>
        <v>13514.628767814347</v>
      </c>
      <c r="DL28" s="22">
        <f t="shared" si="291"/>
        <v>13514.628767814347</v>
      </c>
      <c r="DM28" s="22">
        <f t="shared" si="291"/>
        <v>13514.628767814347</v>
      </c>
      <c r="DN28" s="22">
        <f t="shared" si="291"/>
        <v>13514.628767814347</v>
      </c>
      <c r="DO28" s="22">
        <f t="shared" si="291"/>
        <v>13514.628767814347</v>
      </c>
      <c r="DP28" s="22">
        <f t="shared" si="291"/>
        <v>13514.628767814347</v>
      </c>
      <c r="DQ28" s="22">
        <f t="shared" si="291"/>
        <v>13514.628767814347</v>
      </c>
      <c r="DR28" s="22">
        <f t="shared" si="291"/>
        <v>13514.628767814347</v>
      </c>
      <c r="DS28" s="22">
        <f t="shared" si="291"/>
        <v>13514.628767814347</v>
      </c>
      <c r="DT28" s="22">
        <f t="shared" si="291"/>
        <v>13514.628767814347</v>
      </c>
      <c r="DU28" s="22">
        <f t="shared" si="291"/>
        <v>13514.628767814347</v>
      </c>
      <c r="DV28" s="30">
        <f t="shared" si="160"/>
        <v>162175.54521377213</v>
      </c>
      <c r="DW28" s="38">
        <v>1</v>
      </c>
      <c r="DX28" s="22">
        <f t="shared" ref="DX28:DX29" si="302">$DW28*DJ28*(1+$DX$4)</f>
        <v>14325.506493883209</v>
      </c>
      <c r="DY28" s="22">
        <f t="shared" si="292"/>
        <v>14325.506493883209</v>
      </c>
      <c r="DZ28" s="22">
        <f t="shared" si="292"/>
        <v>14325.506493883209</v>
      </c>
      <c r="EA28" s="22">
        <f t="shared" si="292"/>
        <v>14325.506493883209</v>
      </c>
      <c r="EB28" s="22">
        <f t="shared" si="292"/>
        <v>14325.506493883209</v>
      </c>
      <c r="EC28" s="22">
        <f t="shared" si="292"/>
        <v>14325.506493883209</v>
      </c>
      <c r="ED28" s="22">
        <f t="shared" si="292"/>
        <v>14325.506493883209</v>
      </c>
      <c r="EE28" s="22">
        <f t="shared" si="292"/>
        <v>14325.506493883209</v>
      </c>
      <c r="EF28" s="22">
        <f t="shared" si="292"/>
        <v>14325.506493883209</v>
      </c>
      <c r="EG28" s="22">
        <f t="shared" si="292"/>
        <v>14325.506493883209</v>
      </c>
      <c r="EH28" s="22">
        <f t="shared" si="292"/>
        <v>14325.506493883209</v>
      </c>
      <c r="EI28" s="22">
        <f t="shared" si="292"/>
        <v>14325.506493883209</v>
      </c>
      <c r="EJ28" s="30">
        <f t="shared" si="162"/>
        <v>171906.07792659852</v>
      </c>
    </row>
    <row r="29" spans="1:140">
      <c r="A29" s="8" t="s">
        <v>45</v>
      </c>
      <c r="B29" s="22">
        <v>9000</v>
      </c>
      <c r="C29" s="22">
        <f t="shared" si="173"/>
        <v>9000</v>
      </c>
      <c r="D29" s="22">
        <f t="shared" ref="D29:M29" si="303">C29*(1+D$3)</f>
        <v>9000</v>
      </c>
      <c r="E29" s="22">
        <f t="shared" si="303"/>
        <v>9000</v>
      </c>
      <c r="F29" s="22">
        <f t="shared" si="303"/>
        <v>9000</v>
      </c>
      <c r="G29" s="22">
        <f t="shared" si="303"/>
        <v>9000</v>
      </c>
      <c r="H29" s="22">
        <f t="shared" si="303"/>
        <v>9000</v>
      </c>
      <c r="I29" s="22">
        <f t="shared" si="303"/>
        <v>9000</v>
      </c>
      <c r="J29" s="22">
        <f t="shared" si="303"/>
        <v>9000</v>
      </c>
      <c r="K29" s="22">
        <f t="shared" si="303"/>
        <v>9000</v>
      </c>
      <c r="L29" s="22">
        <f t="shared" si="303"/>
        <v>9000</v>
      </c>
      <c r="M29" s="22">
        <f t="shared" si="303"/>
        <v>9000</v>
      </c>
      <c r="N29" s="30">
        <f t="shared" si="144"/>
        <v>108000</v>
      </c>
      <c r="O29" s="38">
        <v>1</v>
      </c>
      <c r="P29" s="22">
        <f t="shared" si="294"/>
        <v>9630</v>
      </c>
      <c r="Q29" s="22">
        <f t="shared" si="284"/>
        <v>9630</v>
      </c>
      <c r="R29" s="22">
        <f t="shared" si="284"/>
        <v>9630</v>
      </c>
      <c r="S29" s="22">
        <f t="shared" si="284"/>
        <v>9630</v>
      </c>
      <c r="T29" s="22">
        <f t="shared" si="284"/>
        <v>9630</v>
      </c>
      <c r="U29" s="22">
        <f t="shared" si="284"/>
        <v>9630</v>
      </c>
      <c r="V29" s="22">
        <f t="shared" si="284"/>
        <v>9630</v>
      </c>
      <c r="W29" s="22">
        <f t="shared" si="284"/>
        <v>9630</v>
      </c>
      <c r="X29" s="22">
        <f t="shared" si="284"/>
        <v>9630</v>
      </c>
      <c r="Y29" s="22">
        <f t="shared" si="284"/>
        <v>9630</v>
      </c>
      <c r="Z29" s="22">
        <f t="shared" si="284"/>
        <v>9630</v>
      </c>
      <c r="AA29" s="22">
        <f t="shared" si="284"/>
        <v>9630</v>
      </c>
      <c r="AB29" s="30">
        <f t="shared" si="146"/>
        <v>115560</v>
      </c>
      <c r="AC29" s="38">
        <v>1</v>
      </c>
      <c r="AD29" s="22">
        <f t="shared" si="295"/>
        <v>10207.800000000001</v>
      </c>
      <c r="AE29" s="22">
        <f t="shared" si="285"/>
        <v>10207.800000000001</v>
      </c>
      <c r="AF29" s="22">
        <f t="shared" si="285"/>
        <v>10207.800000000001</v>
      </c>
      <c r="AG29" s="22">
        <f t="shared" si="285"/>
        <v>10207.800000000001</v>
      </c>
      <c r="AH29" s="22">
        <f t="shared" si="285"/>
        <v>10207.800000000001</v>
      </c>
      <c r="AI29" s="22">
        <f t="shared" si="285"/>
        <v>10207.800000000001</v>
      </c>
      <c r="AJ29" s="22">
        <f t="shared" si="285"/>
        <v>10207.800000000001</v>
      </c>
      <c r="AK29" s="22">
        <f t="shared" si="285"/>
        <v>10207.800000000001</v>
      </c>
      <c r="AL29" s="22">
        <f t="shared" si="285"/>
        <v>10207.800000000001</v>
      </c>
      <c r="AM29" s="22">
        <f t="shared" si="285"/>
        <v>10207.800000000001</v>
      </c>
      <c r="AN29" s="22">
        <f t="shared" si="285"/>
        <v>10207.800000000001</v>
      </c>
      <c r="AO29" s="22">
        <f t="shared" si="285"/>
        <v>10207.800000000001</v>
      </c>
      <c r="AP29" s="30">
        <f t="shared" si="148"/>
        <v>122493.60000000002</v>
      </c>
      <c r="AQ29" s="38">
        <v>1</v>
      </c>
      <c r="AR29" s="22">
        <f t="shared" si="296"/>
        <v>10820.268000000002</v>
      </c>
      <c r="AS29" s="22">
        <f t="shared" si="286"/>
        <v>10820.268000000002</v>
      </c>
      <c r="AT29" s="22">
        <f t="shared" si="286"/>
        <v>10820.268000000002</v>
      </c>
      <c r="AU29" s="22">
        <f t="shared" si="286"/>
        <v>10820.268000000002</v>
      </c>
      <c r="AV29" s="22">
        <f t="shared" si="286"/>
        <v>10820.268000000002</v>
      </c>
      <c r="AW29" s="22">
        <f t="shared" si="286"/>
        <v>10820.268000000002</v>
      </c>
      <c r="AX29" s="22">
        <f t="shared" si="286"/>
        <v>10820.268000000002</v>
      </c>
      <c r="AY29" s="22">
        <f t="shared" si="286"/>
        <v>10820.268000000002</v>
      </c>
      <c r="AZ29" s="22">
        <f t="shared" si="286"/>
        <v>10820.268000000002</v>
      </c>
      <c r="BA29" s="22">
        <f t="shared" si="286"/>
        <v>10820.268000000002</v>
      </c>
      <c r="BB29" s="22">
        <f t="shared" si="286"/>
        <v>10820.268000000002</v>
      </c>
      <c r="BC29" s="22">
        <f t="shared" si="286"/>
        <v>10820.268000000002</v>
      </c>
      <c r="BD29" s="30">
        <f t="shared" si="150"/>
        <v>129843.216</v>
      </c>
      <c r="BE29" s="38">
        <v>1</v>
      </c>
      <c r="BF29" s="22">
        <f t="shared" si="297"/>
        <v>11469.484080000002</v>
      </c>
      <c r="BG29" s="22">
        <f t="shared" si="287"/>
        <v>11469.484080000002</v>
      </c>
      <c r="BH29" s="22">
        <f t="shared" si="287"/>
        <v>11469.484080000002</v>
      </c>
      <c r="BI29" s="22">
        <f t="shared" si="287"/>
        <v>11469.484080000002</v>
      </c>
      <c r="BJ29" s="22">
        <f t="shared" si="287"/>
        <v>11469.484080000002</v>
      </c>
      <c r="BK29" s="22">
        <f t="shared" si="287"/>
        <v>11469.484080000002</v>
      </c>
      <c r="BL29" s="22">
        <f t="shared" si="287"/>
        <v>11469.484080000002</v>
      </c>
      <c r="BM29" s="22">
        <f t="shared" si="287"/>
        <v>11469.484080000002</v>
      </c>
      <c r="BN29" s="22">
        <f t="shared" si="287"/>
        <v>11469.484080000002</v>
      </c>
      <c r="BO29" s="22">
        <f t="shared" si="287"/>
        <v>11469.484080000002</v>
      </c>
      <c r="BP29" s="22">
        <f t="shared" si="287"/>
        <v>11469.484080000002</v>
      </c>
      <c r="BQ29" s="22">
        <f t="shared" si="287"/>
        <v>11469.484080000002</v>
      </c>
      <c r="BR29" s="30">
        <f t="shared" si="152"/>
        <v>137633.80895999999</v>
      </c>
      <c r="BS29" s="38">
        <v>1</v>
      </c>
      <c r="BT29" s="22">
        <f t="shared" si="298"/>
        <v>12157.653124800003</v>
      </c>
      <c r="BU29" s="22">
        <f t="shared" si="288"/>
        <v>12157.653124800003</v>
      </c>
      <c r="BV29" s="22">
        <f t="shared" si="288"/>
        <v>12157.653124800003</v>
      </c>
      <c r="BW29" s="22">
        <f t="shared" si="288"/>
        <v>12157.653124800003</v>
      </c>
      <c r="BX29" s="22">
        <f t="shared" si="288"/>
        <v>12157.653124800003</v>
      </c>
      <c r="BY29" s="22">
        <f t="shared" si="288"/>
        <v>12157.653124800003</v>
      </c>
      <c r="BZ29" s="22">
        <f t="shared" si="288"/>
        <v>12157.653124800003</v>
      </c>
      <c r="CA29" s="22">
        <f t="shared" si="288"/>
        <v>12157.653124800003</v>
      </c>
      <c r="CB29" s="22">
        <f t="shared" si="288"/>
        <v>12157.653124800003</v>
      </c>
      <c r="CC29" s="22">
        <f t="shared" si="288"/>
        <v>12157.653124800003</v>
      </c>
      <c r="CD29" s="22">
        <f t="shared" si="288"/>
        <v>12157.653124800003</v>
      </c>
      <c r="CE29" s="22">
        <f t="shared" si="288"/>
        <v>12157.653124800003</v>
      </c>
      <c r="CF29" s="30">
        <f t="shared" si="154"/>
        <v>145891.83749760006</v>
      </c>
      <c r="CG29" s="38">
        <v>1</v>
      </c>
      <c r="CH29" s="22">
        <f t="shared" si="299"/>
        <v>12887.112312288004</v>
      </c>
      <c r="CI29" s="22">
        <f t="shared" si="289"/>
        <v>12887.112312288004</v>
      </c>
      <c r="CJ29" s="22">
        <f t="shared" si="289"/>
        <v>12887.112312288004</v>
      </c>
      <c r="CK29" s="22">
        <f t="shared" si="289"/>
        <v>12887.112312288004</v>
      </c>
      <c r="CL29" s="22">
        <f t="shared" si="289"/>
        <v>12887.112312288004</v>
      </c>
      <c r="CM29" s="22">
        <f t="shared" si="289"/>
        <v>12887.112312288004</v>
      </c>
      <c r="CN29" s="22">
        <f t="shared" si="289"/>
        <v>12887.112312288004</v>
      </c>
      <c r="CO29" s="22">
        <f t="shared" si="289"/>
        <v>12887.112312288004</v>
      </c>
      <c r="CP29" s="22">
        <f t="shared" si="289"/>
        <v>12887.112312288004</v>
      </c>
      <c r="CQ29" s="22">
        <f t="shared" si="289"/>
        <v>12887.112312288004</v>
      </c>
      <c r="CR29" s="22">
        <f t="shared" si="289"/>
        <v>12887.112312288004</v>
      </c>
      <c r="CS29" s="22">
        <f t="shared" si="289"/>
        <v>12887.112312288004</v>
      </c>
      <c r="CT29" s="30">
        <f t="shared" si="156"/>
        <v>154645.34774745605</v>
      </c>
      <c r="CU29" s="38">
        <v>1</v>
      </c>
      <c r="CV29" s="22">
        <f t="shared" si="300"/>
        <v>13660.339051025285</v>
      </c>
      <c r="CW29" s="22">
        <f t="shared" si="290"/>
        <v>13660.339051025285</v>
      </c>
      <c r="CX29" s="22">
        <f t="shared" si="290"/>
        <v>13660.339051025285</v>
      </c>
      <c r="CY29" s="22">
        <f t="shared" si="290"/>
        <v>13660.339051025285</v>
      </c>
      <c r="CZ29" s="22">
        <f t="shared" si="290"/>
        <v>13660.339051025285</v>
      </c>
      <c r="DA29" s="22">
        <f t="shared" si="290"/>
        <v>13660.339051025285</v>
      </c>
      <c r="DB29" s="22">
        <f t="shared" si="290"/>
        <v>13660.339051025285</v>
      </c>
      <c r="DC29" s="22">
        <f t="shared" si="290"/>
        <v>13660.339051025285</v>
      </c>
      <c r="DD29" s="22">
        <f t="shared" si="290"/>
        <v>13660.339051025285</v>
      </c>
      <c r="DE29" s="22">
        <f t="shared" si="290"/>
        <v>13660.339051025285</v>
      </c>
      <c r="DF29" s="22">
        <f t="shared" si="290"/>
        <v>13660.339051025285</v>
      </c>
      <c r="DG29" s="22">
        <f t="shared" si="290"/>
        <v>13660.339051025285</v>
      </c>
      <c r="DH29" s="30">
        <f t="shared" si="158"/>
        <v>163924.06861230338</v>
      </c>
      <c r="DI29" s="38">
        <v>1</v>
      </c>
      <c r="DJ29" s="22">
        <f t="shared" si="301"/>
        <v>14479.959394086804</v>
      </c>
      <c r="DK29" s="22">
        <f t="shared" si="291"/>
        <v>14479.959394086804</v>
      </c>
      <c r="DL29" s="22">
        <f t="shared" si="291"/>
        <v>14479.959394086804</v>
      </c>
      <c r="DM29" s="22">
        <f t="shared" si="291"/>
        <v>14479.959394086804</v>
      </c>
      <c r="DN29" s="22">
        <f t="shared" si="291"/>
        <v>14479.959394086804</v>
      </c>
      <c r="DO29" s="22">
        <f t="shared" si="291"/>
        <v>14479.959394086804</v>
      </c>
      <c r="DP29" s="22">
        <f t="shared" si="291"/>
        <v>14479.959394086804</v>
      </c>
      <c r="DQ29" s="22">
        <f t="shared" si="291"/>
        <v>14479.959394086804</v>
      </c>
      <c r="DR29" s="22">
        <f t="shared" si="291"/>
        <v>14479.959394086804</v>
      </c>
      <c r="DS29" s="22">
        <f t="shared" si="291"/>
        <v>14479.959394086804</v>
      </c>
      <c r="DT29" s="22">
        <f t="shared" si="291"/>
        <v>14479.959394086804</v>
      </c>
      <c r="DU29" s="22">
        <f t="shared" si="291"/>
        <v>14479.959394086804</v>
      </c>
      <c r="DV29" s="30">
        <f t="shared" si="160"/>
        <v>173759.51272904163</v>
      </c>
      <c r="DW29" s="38">
        <v>1</v>
      </c>
      <c r="DX29" s="22">
        <f t="shared" si="302"/>
        <v>15348.756957732012</v>
      </c>
      <c r="DY29" s="22">
        <f t="shared" si="292"/>
        <v>15348.756957732012</v>
      </c>
      <c r="DZ29" s="22">
        <f t="shared" si="292"/>
        <v>15348.756957732012</v>
      </c>
      <c r="EA29" s="22">
        <f t="shared" si="292"/>
        <v>15348.756957732012</v>
      </c>
      <c r="EB29" s="22">
        <f t="shared" si="292"/>
        <v>15348.756957732012</v>
      </c>
      <c r="EC29" s="22">
        <f t="shared" si="292"/>
        <v>15348.756957732012</v>
      </c>
      <c r="ED29" s="22">
        <f t="shared" si="292"/>
        <v>15348.756957732012</v>
      </c>
      <c r="EE29" s="22">
        <f t="shared" si="292"/>
        <v>15348.756957732012</v>
      </c>
      <c r="EF29" s="22">
        <f t="shared" si="292"/>
        <v>15348.756957732012</v>
      </c>
      <c r="EG29" s="22">
        <f t="shared" si="292"/>
        <v>15348.756957732012</v>
      </c>
      <c r="EH29" s="22">
        <f t="shared" si="292"/>
        <v>15348.756957732012</v>
      </c>
      <c r="EI29" s="22">
        <f t="shared" si="292"/>
        <v>15348.756957732012</v>
      </c>
      <c r="EJ29" s="30">
        <f t="shared" si="162"/>
        <v>184185.08349278418</v>
      </c>
    </row>
    <row r="30" spans="1:140">
      <c r="A30" s="18" t="s">
        <v>236</v>
      </c>
      <c r="B30" s="30">
        <f t="shared" ref="B30:M30" si="304">SUM(B31:B34)</f>
        <v>35160</v>
      </c>
      <c r="C30" s="30">
        <f t="shared" si="304"/>
        <v>35160</v>
      </c>
      <c r="D30" s="30">
        <f t="shared" si="304"/>
        <v>35160</v>
      </c>
      <c r="E30" s="30">
        <f t="shared" si="304"/>
        <v>35160</v>
      </c>
      <c r="F30" s="30">
        <f t="shared" si="304"/>
        <v>35160</v>
      </c>
      <c r="G30" s="30">
        <f t="shared" si="304"/>
        <v>35160</v>
      </c>
      <c r="H30" s="30">
        <f t="shared" si="304"/>
        <v>35160</v>
      </c>
      <c r="I30" s="30">
        <f t="shared" si="304"/>
        <v>35160</v>
      </c>
      <c r="J30" s="30">
        <f t="shared" si="304"/>
        <v>35160</v>
      </c>
      <c r="K30" s="30">
        <f t="shared" si="304"/>
        <v>35160</v>
      </c>
      <c r="L30" s="30">
        <f t="shared" si="304"/>
        <v>35160</v>
      </c>
      <c r="M30" s="30">
        <f t="shared" si="304"/>
        <v>35160</v>
      </c>
      <c r="N30" s="30">
        <f t="shared" si="144"/>
        <v>421920</v>
      </c>
      <c r="O30" s="38"/>
      <c r="P30" s="30">
        <f>SUM(P31:P34)</f>
        <v>38460.936000000002</v>
      </c>
      <c r="Q30" s="30">
        <f t="shared" ref="Q30" si="305">SUM(Q31:Q34)</f>
        <v>38460.936000000002</v>
      </c>
      <c r="R30" s="30">
        <f t="shared" ref="R30" si="306">SUM(R31:R34)</f>
        <v>38460.936000000002</v>
      </c>
      <c r="S30" s="30">
        <f t="shared" ref="S30" si="307">SUM(S31:S34)</f>
        <v>38460.936000000002</v>
      </c>
      <c r="T30" s="30">
        <f t="shared" ref="T30" si="308">SUM(T31:T34)</f>
        <v>38460.936000000002</v>
      </c>
      <c r="U30" s="30">
        <f t="shared" ref="U30" si="309">SUM(U31:U34)</f>
        <v>38460.936000000002</v>
      </c>
      <c r="V30" s="30">
        <f t="shared" ref="V30" si="310">SUM(V31:V34)</f>
        <v>38460.936000000002</v>
      </c>
      <c r="W30" s="30">
        <f t="shared" ref="W30" si="311">SUM(W31:W34)</f>
        <v>38460.936000000002</v>
      </c>
      <c r="X30" s="30">
        <f t="shared" ref="X30" si="312">SUM(X31:X34)</f>
        <v>38460.936000000002</v>
      </c>
      <c r="Y30" s="30">
        <f t="shared" ref="Y30" si="313">SUM(Y31:Y34)</f>
        <v>38460.936000000002</v>
      </c>
      <c r="Z30" s="30">
        <f t="shared" ref="Z30" si="314">SUM(Z31:Z34)</f>
        <v>38460.936000000002</v>
      </c>
      <c r="AA30" s="30">
        <f t="shared" ref="AA30" si="315">SUM(AA31:AA34)</f>
        <v>38460.936000000002</v>
      </c>
      <c r="AB30" s="30">
        <f t="shared" si="146"/>
        <v>461531.2319999999</v>
      </c>
      <c r="AC30" s="38"/>
      <c r="AD30" s="30">
        <f>SUM(AD31:AD34)</f>
        <v>42296.631768000014</v>
      </c>
      <c r="AE30" s="30">
        <f t="shared" ref="AE30" si="316">SUM(AE31:AE34)</f>
        <v>42296.631768000014</v>
      </c>
      <c r="AF30" s="30">
        <f t="shared" ref="AF30" si="317">SUM(AF31:AF34)</f>
        <v>42296.631768000014</v>
      </c>
      <c r="AG30" s="30">
        <f t="shared" ref="AG30" si="318">SUM(AG31:AG34)</f>
        <v>42296.631768000014</v>
      </c>
      <c r="AH30" s="30">
        <f t="shared" ref="AH30" si="319">SUM(AH31:AH34)</f>
        <v>42296.631768000014</v>
      </c>
      <c r="AI30" s="30">
        <f t="shared" ref="AI30" si="320">SUM(AI31:AI34)</f>
        <v>42296.631768000014</v>
      </c>
      <c r="AJ30" s="30">
        <f t="shared" ref="AJ30" si="321">SUM(AJ31:AJ34)</f>
        <v>42296.631768000014</v>
      </c>
      <c r="AK30" s="30">
        <f t="shared" ref="AK30" si="322">SUM(AK31:AK34)</f>
        <v>42296.631768000014</v>
      </c>
      <c r="AL30" s="30">
        <f t="shared" ref="AL30" si="323">SUM(AL31:AL34)</f>
        <v>42296.631768000014</v>
      </c>
      <c r="AM30" s="30">
        <f t="shared" ref="AM30" si="324">SUM(AM31:AM34)</f>
        <v>42296.631768000014</v>
      </c>
      <c r="AN30" s="30">
        <f t="shared" ref="AN30" si="325">SUM(AN31:AN34)</f>
        <v>42296.631768000014</v>
      </c>
      <c r="AO30" s="30">
        <f t="shared" ref="AO30" si="326">SUM(AO31:AO34)</f>
        <v>42296.631768000014</v>
      </c>
      <c r="AP30" s="30">
        <f t="shared" si="148"/>
        <v>507559.5812160002</v>
      </c>
      <c r="AQ30" s="38"/>
      <c r="AR30" s="30">
        <f>SUM(AR31:AR34)</f>
        <v>46535.137757784018</v>
      </c>
      <c r="AS30" s="30">
        <f t="shared" ref="AS30" si="327">SUM(AS31:AS34)</f>
        <v>46535.137757784018</v>
      </c>
      <c r="AT30" s="30">
        <f t="shared" ref="AT30" si="328">SUM(AT31:AT34)</f>
        <v>46535.137757784018</v>
      </c>
      <c r="AU30" s="30">
        <f t="shared" ref="AU30" si="329">SUM(AU31:AU34)</f>
        <v>46535.137757784018</v>
      </c>
      <c r="AV30" s="30">
        <f t="shared" ref="AV30" si="330">SUM(AV31:AV34)</f>
        <v>46535.137757784018</v>
      </c>
      <c r="AW30" s="30">
        <f t="shared" ref="AW30" si="331">SUM(AW31:AW34)</f>
        <v>46535.137757784018</v>
      </c>
      <c r="AX30" s="30">
        <f t="shared" ref="AX30" si="332">SUM(AX31:AX34)</f>
        <v>46535.137757784018</v>
      </c>
      <c r="AY30" s="30">
        <f t="shared" ref="AY30" si="333">SUM(AY31:AY34)</f>
        <v>46535.137757784018</v>
      </c>
      <c r="AZ30" s="30">
        <f t="shared" ref="AZ30" si="334">SUM(AZ31:AZ34)</f>
        <v>46535.137757784018</v>
      </c>
      <c r="BA30" s="30">
        <f t="shared" ref="BA30" si="335">SUM(BA31:BA34)</f>
        <v>46535.137757784018</v>
      </c>
      <c r="BB30" s="30">
        <f t="shared" ref="BB30" si="336">SUM(BB31:BB34)</f>
        <v>46535.137757784018</v>
      </c>
      <c r="BC30" s="30">
        <f t="shared" ref="BC30" si="337">SUM(BC31:BC34)</f>
        <v>46535.137757784018</v>
      </c>
      <c r="BD30" s="30">
        <f t="shared" si="150"/>
        <v>558421.65309340809</v>
      </c>
      <c r="BE30" s="38"/>
      <c r="BF30" s="30">
        <f>SUM(BF31:BF34)</f>
        <v>51220.134120413619</v>
      </c>
      <c r="BG30" s="30">
        <f t="shared" ref="BG30" si="338">SUM(BG31:BG34)</f>
        <v>51220.134120413619</v>
      </c>
      <c r="BH30" s="30">
        <f t="shared" ref="BH30" si="339">SUM(BH31:BH34)</f>
        <v>51220.134120413619</v>
      </c>
      <c r="BI30" s="30">
        <f t="shared" ref="BI30" si="340">SUM(BI31:BI34)</f>
        <v>51220.134120413619</v>
      </c>
      <c r="BJ30" s="30">
        <f t="shared" ref="BJ30" si="341">SUM(BJ31:BJ34)</f>
        <v>51220.134120413619</v>
      </c>
      <c r="BK30" s="30">
        <f t="shared" ref="BK30" si="342">SUM(BK31:BK34)</f>
        <v>51220.134120413619</v>
      </c>
      <c r="BL30" s="30">
        <f t="shared" ref="BL30" si="343">SUM(BL31:BL34)</f>
        <v>51220.134120413619</v>
      </c>
      <c r="BM30" s="30">
        <f t="shared" ref="BM30" si="344">SUM(BM31:BM34)</f>
        <v>51220.134120413619</v>
      </c>
      <c r="BN30" s="30">
        <f t="shared" ref="BN30" si="345">SUM(BN31:BN34)</f>
        <v>51220.134120413619</v>
      </c>
      <c r="BO30" s="30">
        <f t="shared" ref="BO30" si="346">SUM(BO31:BO34)</f>
        <v>51220.134120413619</v>
      </c>
      <c r="BP30" s="30">
        <f t="shared" ref="BP30" si="347">SUM(BP31:BP34)</f>
        <v>51220.134120413619</v>
      </c>
      <c r="BQ30" s="30">
        <f t="shared" ref="BQ30" si="348">SUM(BQ31:BQ34)</f>
        <v>51220.134120413619</v>
      </c>
      <c r="BR30" s="30">
        <f t="shared" si="152"/>
        <v>614641.6094449634</v>
      </c>
      <c r="BS30" s="38"/>
      <c r="BT30" s="30">
        <f>SUM(BT31:BT34)</f>
        <v>56400.126619780363</v>
      </c>
      <c r="BU30" s="30">
        <f t="shared" ref="BU30" si="349">SUM(BU31:BU34)</f>
        <v>56400.126619780363</v>
      </c>
      <c r="BV30" s="30">
        <f t="shared" ref="BV30" si="350">SUM(BV31:BV34)</f>
        <v>56400.126619780363</v>
      </c>
      <c r="BW30" s="30">
        <f t="shared" ref="BW30" si="351">SUM(BW31:BW34)</f>
        <v>56400.126619780363</v>
      </c>
      <c r="BX30" s="30">
        <f t="shared" ref="BX30" si="352">SUM(BX31:BX34)</f>
        <v>56400.126619780363</v>
      </c>
      <c r="BY30" s="30">
        <f t="shared" ref="BY30" si="353">SUM(BY31:BY34)</f>
        <v>56400.126619780363</v>
      </c>
      <c r="BZ30" s="30">
        <f t="shared" ref="BZ30" si="354">SUM(BZ31:BZ34)</f>
        <v>56400.126619780363</v>
      </c>
      <c r="CA30" s="30">
        <f t="shared" ref="CA30" si="355">SUM(CA31:CA34)</f>
        <v>56400.126619780363</v>
      </c>
      <c r="CB30" s="30">
        <f t="shared" ref="CB30" si="356">SUM(CB31:CB34)</f>
        <v>56400.126619780363</v>
      </c>
      <c r="CC30" s="30">
        <f t="shared" ref="CC30" si="357">SUM(CC31:CC34)</f>
        <v>56400.126619780363</v>
      </c>
      <c r="CD30" s="30">
        <f t="shared" ref="CD30" si="358">SUM(CD31:CD34)</f>
        <v>56400.126619780363</v>
      </c>
      <c r="CE30" s="30">
        <f t="shared" ref="CE30" si="359">SUM(CE31:CE34)</f>
        <v>56400.126619780363</v>
      </c>
      <c r="CF30" s="30">
        <f t="shared" si="154"/>
        <v>676801.5194373643</v>
      </c>
      <c r="CG30" s="38"/>
      <c r="CH30" s="30">
        <f>SUM(CH31:CH34)</f>
        <v>62128.985312201148</v>
      </c>
      <c r="CI30" s="30">
        <f t="shared" ref="CI30" si="360">SUM(CI31:CI34)</f>
        <v>62128.985312201148</v>
      </c>
      <c r="CJ30" s="30">
        <f t="shared" ref="CJ30" si="361">SUM(CJ31:CJ34)</f>
        <v>62128.985312201148</v>
      </c>
      <c r="CK30" s="30">
        <f t="shared" ref="CK30" si="362">SUM(CK31:CK34)</f>
        <v>62128.985312201148</v>
      </c>
      <c r="CL30" s="30">
        <f t="shared" ref="CL30" si="363">SUM(CL31:CL34)</f>
        <v>62128.985312201148</v>
      </c>
      <c r="CM30" s="30">
        <f t="shared" ref="CM30" si="364">SUM(CM31:CM34)</f>
        <v>62128.985312201148</v>
      </c>
      <c r="CN30" s="30">
        <f t="shared" ref="CN30" si="365">SUM(CN31:CN34)</f>
        <v>62128.985312201148</v>
      </c>
      <c r="CO30" s="30">
        <f t="shared" ref="CO30" si="366">SUM(CO31:CO34)</f>
        <v>62128.985312201148</v>
      </c>
      <c r="CP30" s="30">
        <f t="shared" ref="CP30" si="367">SUM(CP31:CP34)</f>
        <v>62128.985312201148</v>
      </c>
      <c r="CQ30" s="30">
        <f t="shared" ref="CQ30" si="368">SUM(CQ31:CQ34)</f>
        <v>62128.985312201148</v>
      </c>
      <c r="CR30" s="30">
        <f t="shared" ref="CR30" si="369">SUM(CR31:CR34)</f>
        <v>62128.985312201148</v>
      </c>
      <c r="CS30" s="30">
        <f t="shared" ref="CS30" si="370">SUM(CS31:CS34)</f>
        <v>62128.985312201148</v>
      </c>
      <c r="CT30" s="30">
        <f t="shared" si="156"/>
        <v>745547.82374641392</v>
      </c>
      <c r="CU30" s="38"/>
      <c r="CV30" s="30">
        <f>SUM(CV31:CV34)</f>
        <v>68466.543699928618</v>
      </c>
      <c r="CW30" s="30">
        <f t="shared" ref="CW30" si="371">SUM(CW31:CW34)</f>
        <v>68466.543699928618</v>
      </c>
      <c r="CX30" s="30">
        <f t="shared" ref="CX30" si="372">SUM(CX31:CX34)</f>
        <v>68466.543699928618</v>
      </c>
      <c r="CY30" s="30">
        <f t="shared" ref="CY30" si="373">SUM(CY31:CY34)</f>
        <v>68466.543699928618</v>
      </c>
      <c r="CZ30" s="30">
        <f t="shared" ref="CZ30" si="374">SUM(CZ31:CZ34)</f>
        <v>68466.543699928618</v>
      </c>
      <c r="DA30" s="30">
        <f t="shared" ref="DA30" si="375">SUM(DA31:DA34)</f>
        <v>68466.543699928618</v>
      </c>
      <c r="DB30" s="30">
        <f t="shared" ref="DB30" si="376">SUM(DB31:DB34)</f>
        <v>68466.543699928618</v>
      </c>
      <c r="DC30" s="30">
        <f t="shared" ref="DC30" si="377">SUM(DC31:DC34)</f>
        <v>68466.543699928618</v>
      </c>
      <c r="DD30" s="30">
        <f t="shared" ref="DD30" si="378">SUM(DD31:DD34)</f>
        <v>68466.543699928618</v>
      </c>
      <c r="DE30" s="30">
        <f t="shared" ref="DE30" si="379">SUM(DE31:DE34)</f>
        <v>68466.543699928618</v>
      </c>
      <c r="DF30" s="30">
        <f t="shared" ref="DF30" si="380">SUM(DF31:DF34)</f>
        <v>68466.543699928618</v>
      </c>
      <c r="DG30" s="30">
        <f t="shared" ref="DG30" si="381">SUM(DG31:DG34)</f>
        <v>68466.543699928618</v>
      </c>
      <c r="DH30" s="30">
        <f t="shared" si="158"/>
        <v>821598.52439914318</v>
      </c>
      <c r="DI30" s="38"/>
      <c r="DJ30" s="30">
        <f>SUM(DJ31:DJ34)</f>
        <v>75479.265168316226</v>
      </c>
      <c r="DK30" s="30">
        <f t="shared" ref="DK30" si="382">SUM(DK31:DK34)</f>
        <v>75479.265168316226</v>
      </c>
      <c r="DL30" s="30">
        <f t="shared" ref="DL30" si="383">SUM(DL31:DL34)</f>
        <v>75479.265168316226</v>
      </c>
      <c r="DM30" s="30">
        <f t="shared" ref="DM30" si="384">SUM(DM31:DM34)</f>
        <v>75479.265168316226</v>
      </c>
      <c r="DN30" s="30">
        <f t="shared" ref="DN30" si="385">SUM(DN31:DN34)</f>
        <v>75479.265168316226</v>
      </c>
      <c r="DO30" s="30">
        <f t="shared" ref="DO30" si="386">SUM(DO31:DO34)</f>
        <v>75479.265168316226</v>
      </c>
      <c r="DP30" s="30">
        <f t="shared" ref="DP30" si="387">SUM(DP31:DP34)</f>
        <v>75479.265168316226</v>
      </c>
      <c r="DQ30" s="30">
        <f t="shared" ref="DQ30" si="388">SUM(DQ31:DQ34)</f>
        <v>75479.265168316226</v>
      </c>
      <c r="DR30" s="30">
        <f t="shared" ref="DR30" si="389">SUM(DR31:DR34)</f>
        <v>75479.265168316226</v>
      </c>
      <c r="DS30" s="30">
        <f t="shared" ref="DS30" si="390">SUM(DS31:DS34)</f>
        <v>75479.265168316226</v>
      </c>
      <c r="DT30" s="30">
        <f t="shared" ref="DT30" si="391">SUM(DT31:DT34)</f>
        <v>75479.265168316226</v>
      </c>
      <c r="DU30" s="30">
        <f t="shared" ref="DU30" si="392">SUM(DU31:DU34)</f>
        <v>75479.265168316226</v>
      </c>
      <c r="DV30" s="30">
        <f t="shared" si="160"/>
        <v>905751.18201979448</v>
      </c>
      <c r="DW30" s="38"/>
      <c r="DX30" s="30">
        <f>SUM(DX31:DX34)</f>
        <v>83240.984284449369</v>
      </c>
      <c r="DY30" s="30">
        <f t="shared" ref="DY30" si="393">SUM(DY31:DY34)</f>
        <v>83240.984284449369</v>
      </c>
      <c r="DZ30" s="30">
        <f t="shared" ref="DZ30" si="394">SUM(DZ31:DZ34)</f>
        <v>83240.984284449369</v>
      </c>
      <c r="EA30" s="30">
        <f t="shared" ref="EA30" si="395">SUM(EA31:EA34)</f>
        <v>83240.984284449369</v>
      </c>
      <c r="EB30" s="30">
        <f t="shared" ref="EB30" si="396">SUM(EB31:EB34)</f>
        <v>83240.984284449369</v>
      </c>
      <c r="EC30" s="30">
        <f t="shared" ref="EC30" si="397">SUM(EC31:EC34)</f>
        <v>83240.984284449369</v>
      </c>
      <c r="ED30" s="30">
        <f t="shared" ref="ED30" si="398">SUM(ED31:ED34)</f>
        <v>83240.984284449369</v>
      </c>
      <c r="EE30" s="30">
        <f t="shared" ref="EE30" si="399">SUM(EE31:EE34)</f>
        <v>83240.984284449369</v>
      </c>
      <c r="EF30" s="30">
        <f t="shared" ref="EF30" si="400">SUM(EF31:EF34)</f>
        <v>83240.984284449369</v>
      </c>
      <c r="EG30" s="30">
        <f t="shared" ref="EG30" si="401">SUM(EG31:EG34)</f>
        <v>83240.984284449369</v>
      </c>
      <c r="EH30" s="30">
        <f t="shared" ref="EH30" si="402">SUM(EH31:EH34)</f>
        <v>83240.984284449369</v>
      </c>
      <c r="EI30" s="30">
        <f t="shared" ref="EI30" si="403">SUM(EI31:EI34)</f>
        <v>83240.984284449369</v>
      </c>
      <c r="EJ30" s="30">
        <f t="shared" si="162"/>
        <v>998891.81141339242</v>
      </c>
    </row>
    <row r="31" spans="1:140">
      <c r="A31" s="8" t="s">
        <v>237</v>
      </c>
      <c r="B31" s="22">
        <v>400</v>
      </c>
      <c r="C31" s="22">
        <f t="shared" ref="C31:M31" si="404">B31*(1+C$3)</f>
        <v>400</v>
      </c>
      <c r="D31" s="22">
        <f t="shared" si="404"/>
        <v>400</v>
      </c>
      <c r="E31" s="22">
        <f t="shared" si="404"/>
        <v>400</v>
      </c>
      <c r="F31" s="22">
        <f t="shared" si="404"/>
        <v>400</v>
      </c>
      <c r="G31" s="22">
        <f t="shared" si="404"/>
        <v>400</v>
      </c>
      <c r="H31" s="22">
        <f t="shared" si="404"/>
        <v>400</v>
      </c>
      <c r="I31" s="22">
        <f t="shared" si="404"/>
        <v>400</v>
      </c>
      <c r="J31" s="22">
        <f t="shared" si="404"/>
        <v>400</v>
      </c>
      <c r="K31" s="22">
        <f t="shared" si="404"/>
        <v>400</v>
      </c>
      <c r="L31" s="22">
        <f t="shared" si="404"/>
        <v>400</v>
      </c>
      <c r="M31" s="22">
        <f t="shared" si="404"/>
        <v>400</v>
      </c>
      <c r="N31" s="30">
        <f t="shared" si="144"/>
        <v>4800</v>
      </c>
      <c r="O31" s="38">
        <v>1</v>
      </c>
      <c r="P31" s="22">
        <f t="shared" ref="P31:P32" si="405">$O31*B31*(1+$P$3)*(1+$P$4)</f>
        <v>440.84000000000003</v>
      </c>
      <c r="Q31" s="22">
        <f t="shared" ref="Q31:AA32" si="406">$O31*C31*(1+$P$3)*(1+$P$4)</f>
        <v>440.84000000000003</v>
      </c>
      <c r="R31" s="22">
        <f t="shared" si="406"/>
        <v>440.84000000000003</v>
      </c>
      <c r="S31" s="22">
        <f t="shared" si="406"/>
        <v>440.84000000000003</v>
      </c>
      <c r="T31" s="22">
        <f t="shared" si="406"/>
        <v>440.84000000000003</v>
      </c>
      <c r="U31" s="22">
        <f t="shared" si="406"/>
        <v>440.84000000000003</v>
      </c>
      <c r="V31" s="22">
        <f t="shared" si="406"/>
        <v>440.84000000000003</v>
      </c>
      <c r="W31" s="22">
        <f t="shared" si="406"/>
        <v>440.84000000000003</v>
      </c>
      <c r="X31" s="22">
        <f t="shared" si="406"/>
        <v>440.84000000000003</v>
      </c>
      <c r="Y31" s="22">
        <f t="shared" si="406"/>
        <v>440.84000000000003</v>
      </c>
      <c r="Z31" s="22">
        <f t="shared" si="406"/>
        <v>440.84000000000003</v>
      </c>
      <c r="AA31" s="22">
        <f t="shared" si="406"/>
        <v>440.84000000000003</v>
      </c>
      <c r="AB31" s="30">
        <f t="shared" si="146"/>
        <v>5290.0800000000008</v>
      </c>
      <c r="AC31" s="38">
        <v>1</v>
      </c>
      <c r="AD31" s="22">
        <f t="shared" ref="AD31:AD32" si="407">$AC31*P31*(1+$AD$3)*(1+$AD$4)</f>
        <v>490.65492000000012</v>
      </c>
      <c r="AE31" s="22">
        <f t="shared" ref="AE31:AE32" si="408">$AC31*Q31*(1+$AD$3)*(1+$AD$4)</f>
        <v>490.65492000000012</v>
      </c>
      <c r="AF31" s="22">
        <f t="shared" ref="AF31:AF32" si="409">$AC31*R31*(1+$AD$3)*(1+$AD$4)</f>
        <v>490.65492000000012</v>
      </c>
      <c r="AG31" s="22">
        <f t="shared" ref="AG31:AG32" si="410">$AC31*S31*(1+$AD$3)*(1+$AD$4)</f>
        <v>490.65492000000012</v>
      </c>
      <c r="AH31" s="22">
        <f t="shared" ref="AH31:AH32" si="411">$AC31*T31*(1+$AD$3)*(1+$AD$4)</f>
        <v>490.65492000000012</v>
      </c>
      <c r="AI31" s="22">
        <f t="shared" ref="AI31:AI32" si="412">$AC31*U31*(1+$AD$3)*(1+$AD$4)</f>
        <v>490.65492000000012</v>
      </c>
      <c r="AJ31" s="22">
        <f t="shared" ref="AJ31:AJ32" si="413">$AC31*V31*(1+$AD$3)*(1+$AD$4)</f>
        <v>490.65492000000012</v>
      </c>
      <c r="AK31" s="22">
        <f t="shared" ref="AK31:AK32" si="414">$AC31*W31*(1+$AD$3)*(1+$AD$4)</f>
        <v>490.65492000000012</v>
      </c>
      <c r="AL31" s="22">
        <f t="shared" ref="AL31:AL32" si="415">$AC31*X31*(1+$AD$3)*(1+$AD$4)</f>
        <v>490.65492000000012</v>
      </c>
      <c r="AM31" s="22">
        <f t="shared" ref="AM31:AM32" si="416">$AC31*Y31*(1+$AD$3)*(1+$AD$4)</f>
        <v>490.65492000000012</v>
      </c>
      <c r="AN31" s="22">
        <f t="shared" ref="AN31:AN32" si="417">$AC31*Z31*(1+$AD$3)*(1+$AD$4)</f>
        <v>490.65492000000012</v>
      </c>
      <c r="AO31" s="22">
        <f t="shared" ref="AO31:AO32" si="418">$AC31*AA31*(1+$AD$3)*(1+$AD$4)</f>
        <v>490.65492000000012</v>
      </c>
      <c r="AP31" s="30">
        <f t="shared" si="148"/>
        <v>5887.8590400000003</v>
      </c>
      <c r="AQ31" s="38">
        <v>1</v>
      </c>
      <c r="AR31" s="22">
        <f t="shared" ref="AR31:AR32" si="419">$AQ31*AD31*(1+$AR$3)*(1+$AR$4)</f>
        <v>546.0989259600002</v>
      </c>
      <c r="AS31" s="22">
        <f t="shared" ref="AS31:AS32" si="420">$AQ31*AE31*(1+$AR$3)*(1+$AR$4)</f>
        <v>546.0989259600002</v>
      </c>
      <c r="AT31" s="22">
        <f t="shared" ref="AT31:AT32" si="421">$AQ31*AF31*(1+$AR$3)*(1+$AR$4)</f>
        <v>546.0989259600002</v>
      </c>
      <c r="AU31" s="22">
        <f t="shared" ref="AU31:AU32" si="422">$AQ31*AG31*(1+$AR$3)*(1+$AR$4)</f>
        <v>546.0989259600002</v>
      </c>
      <c r="AV31" s="22">
        <f t="shared" ref="AV31:AV32" si="423">$AQ31*AH31*(1+$AR$3)*(1+$AR$4)</f>
        <v>546.0989259600002</v>
      </c>
      <c r="AW31" s="22">
        <f t="shared" ref="AW31:AW32" si="424">$AQ31*AI31*(1+$AR$3)*(1+$AR$4)</f>
        <v>546.0989259600002</v>
      </c>
      <c r="AX31" s="22">
        <f t="shared" ref="AX31:AX32" si="425">$AQ31*AJ31*(1+$AR$3)*(1+$AR$4)</f>
        <v>546.0989259600002</v>
      </c>
      <c r="AY31" s="22">
        <f t="shared" ref="AY31:AY32" si="426">$AQ31*AK31*(1+$AR$3)*(1+$AR$4)</f>
        <v>546.0989259600002</v>
      </c>
      <c r="AZ31" s="22">
        <f t="shared" ref="AZ31:AZ32" si="427">$AQ31*AL31*(1+$AR$3)*(1+$AR$4)</f>
        <v>546.0989259600002</v>
      </c>
      <c r="BA31" s="22">
        <f t="shared" ref="BA31:BA32" si="428">$AQ31*AM31*(1+$AR$3)*(1+$AR$4)</f>
        <v>546.0989259600002</v>
      </c>
      <c r="BB31" s="22">
        <f t="shared" ref="BB31:BB32" si="429">$AQ31*AN31*(1+$AR$3)*(1+$AR$4)</f>
        <v>546.0989259600002</v>
      </c>
      <c r="BC31" s="22">
        <f t="shared" ref="BC31:BC32" si="430">$AQ31*AO31*(1+$AR$3)*(1+$AR$4)</f>
        <v>546.0989259600002</v>
      </c>
      <c r="BD31" s="30">
        <f t="shared" si="150"/>
        <v>6553.187111520002</v>
      </c>
      <c r="BE31" s="38">
        <v>1</v>
      </c>
      <c r="BF31" s="22">
        <f t="shared" ref="BF31:BF32" si="431">$BE31*AR31*(1+$BF$3)*(1+$BF$4)</f>
        <v>607.80810459348027</v>
      </c>
      <c r="BG31" s="22">
        <f t="shared" ref="BG31:BG32" si="432">$BE31*AS31*(1+$BF$3)*(1+$BF$4)</f>
        <v>607.80810459348027</v>
      </c>
      <c r="BH31" s="22">
        <f t="shared" ref="BH31:BH32" si="433">$BE31*AT31*(1+$BF$3)*(1+$BF$4)</f>
        <v>607.80810459348027</v>
      </c>
      <c r="BI31" s="22">
        <f t="shared" ref="BI31:BI32" si="434">$BE31*AU31*(1+$BF$3)*(1+$BF$4)</f>
        <v>607.80810459348027</v>
      </c>
      <c r="BJ31" s="22">
        <f t="shared" ref="BJ31:BJ32" si="435">$BE31*AV31*(1+$BF$3)*(1+$BF$4)</f>
        <v>607.80810459348027</v>
      </c>
      <c r="BK31" s="22">
        <f t="shared" ref="BK31:BK32" si="436">$BE31*AW31*(1+$BF$3)*(1+$BF$4)</f>
        <v>607.80810459348027</v>
      </c>
      <c r="BL31" s="22">
        <f t="shared" ref="BL31:BL32" si="437">$BE31*AX31*(1+$BF$3)*(1+$BF$4)</f>
        <v>607.80810459348027</v>
      </c>
      <c r="BM31" s="22">
        <f t="shared" ref="BM31:BM32" si="438">$BE31*AY31*(1+$BF$3)*(1+$BF$4)</f>
        <v>607.80810459348027</v>
      </c>
      <c r="BN31" s="22">
        <f t="shared" ref="BN31:BN32" si="439">$BE31*AZ31*(1+$BF$3)*(1+$BF$4)</f>
        <v>607.80810459348027</v>
      </c>
      <c r="BO31" s="22">
        <f t="shared" ref="BO31:BO32" si="440">$BE31*BA31*(1+$BF$3)*(1+$BF$4)</f>
        <v>607.80810459348027</v>
      </c>
      <c r="BP31" s="22">
        <f t="shared" ref="BP31:BP32" si="441">$BE31*BB31*(1+$BF$3)*(1+$BF$4)</f>
        <v>607.80810459348027</v>
      </c>
      <c r="BQ31" s="22">
        <f t="shared" ref="BQ31:BQ32" si="442">$BE31*BC31*(1+$BF$3)*(1+$BF$4)</f>
        <v>607.80810459348027</v>
      </c>
      <c r="BR31" s="30">
        <f t="shared" si="152"/>
        <v>7293.697255121765</v>
      </c>
      <c r="BS31" s="38">
        <v>1</v>
      </c>
      <c r="BT31" s="22">
        <f t="shared" ref="BT31:BT32" si="443">$BS31*BF31*(1+$BT$3)*(1+$BT$4)</f>
        <v>676.49042041254359</v>
      </c>
      <c r="BU31" s="22">
        <f t="shared" ref="BU31:BU32" si="444">$BS31*BG31*(1+$BT$3)*(1+$BT$4)</f>
        <v>676.49042041254359</v>
      </c>
      <c r="BV31" s="22">
        <f t="shared" ref="BV31:BV32" si="445">$BS31*BH31*(1+$BT$3)*(1+$BT$4)</f>
        <v>676.49042041254359</v>
      </c>
      <c r="BW31" s="22">
        <f t="shared" ref="BW31:BW32" si="446">$BS31*BI31*(1+$BT$3)*(1+$BT$4)</f>
        <v>676.49042041254359</v>
      </c>
      <c r="BX31" s="22">
        <f t="shared" ref="BX31:BX32" si="447">$BS31*BJ31*(1+$BT$3)*(1+$BT$4)</f>
        <v>676.49042041254359</v>
      </c>
      <c r="BY31" s="22">
        <f t="shared" ref="BY31:BY32" si="448">$BS31*BK31*(1+$BT$3)*(1+$BT$4)</f>
        <v>676.49042041254359</v>
      </c>
      <c r="BZ31" s="22">
        <f t="shared" ref="BZ31:BZ32" si="449">$BS31*BL31*(1+$BT$3)*(1+$BT$4)</f>
        <v>676.49042041254359</v>
      </c>
      <c r="CA31" s="22">
        <f t="shared" ref="CA31:CA32" si="450">$BS31*BM31*(1+$BT$3)*(1+$BT$4)</f>
        <v>676.49042041254359</v>
      </c>
      <c r="CB31" s="22">
        <f t="shared" ref="CB31:CB32" si="451">$BS31*BN31*(1+$BT$3)*(1+$BT$4)</f>
        <v>676.49042041254359</v>
      </c>
      <c r="CC31" s="22">
        <f t="shared" ref="CC31:CC32" si="452">$BS31*BO31*(1+$BT$3)*(1+$BT$4)</f>
        <v>676.49042041254359</v>
      </c>
      <c r="CD31" s="22">
        <f t="shared" ref="CD31:CD32" si="453">$BS31*BP31*(1+$BT$3)*(1+$BT$4)</f>
        <v>676.49042041254359</v>
      </c>
      <c r="CE31" s="22">
        <f t="shared" ref="CE31:CE32" si="454">$BS31*BQ31*(1+$BT$3)*(1+$BT$4)</f>
        <v>676.49042041254359</v>
      </c>
      <c r="CF31" s="30">
        <f t="shared" si="154"/>
        <v>8117.8850449505217</v>
      </c>
      <c r="CG31" s="38">
        <v>1</v>
      </c>
      <c r="CH31" s="22">
        <f t="shared" ref="CH31:CH32" si="455">$CG31*BT31*(1+$CH$3)*(1+$CH$4)</f>
        <v>752.93383791916108</v>
      </c>
      <c r="CI31" s="22">
        <f t="shared" ref="CI31:CI32" si="456">$CG31*BU31*(1+$CH$3)*(1+$CH$4)</f>
        <v>752.93383791916108</v>
      </c>
      <c r="CJ31" s="22">
        <f t="shared" ref="CJ31:CJ32" si="457">$CG31*BV31*(1+$CH$3)*(1+$CH$4)</f>
        <v>752.93383791916108</v>
      </c>
      <c r="CK31" s="22">
        <f t="shared" ref="CK31:CK32" si="458">$CG31*BW31*(1+$CH$3)*(1+$CH$4)</f>
        <v>752.93383791916108</v>
      </c>
      <c r="CL31" s="22">
        <f t="shared" ref="CL31:CL32" si="459">$CG31*BX31*(1+$CH$3)*(1+$CH$4)</f>
        <v>752.93383791916108</v>
      </c>
      <c r="CM31" s="22">
        <f t="shared" ref="CM31:CM32" si="460">$CG31*BY31*(1+$CH$3)*(1+$CH$4)</f>
        <v>752.93383791916108</v>
      </c>
      <c r="CN31" s="22">
        <f t="shared" ref="CN31:CN32" si="461">$CG31*BZ31*(1+$CH$3)*(1+$CH$4)</f>
        <v>752.93383791916108</v>
      </c>
      <c r="CO31" s="22">
        <f t="shared" ref="CO31:CO32" si="462">$CG31*CA31*(1+$CH$3)*(1+$CH$4)</f>
        <v>752.93383791916108</v>
      </c>
      <c r="CP31" s="22">
        <f t="shared" ref="CP31:CP32" si="463">$CG31*CB31*(1+$CH$3)*(1+$CH$4)</f>
        <v>752.93383791916108</v>
      </c>
      <c r="CQ31" s="22">
        <f t="shared" ref="CQ31:CQ32" si="464">$CG31*CC31*(1+$CH$3)*(1+$CH$4)</f>
        <v>752.93383791916108</v>
      </c>
      <c r="CR31" s="22">
        <f t="shared" ref="CR31:CR32" si="465">$CG31*CD31*(1+$CH$3)*(1+$CH$4)</f>
        <v>752.93383791916108</v>
      </c>
      <c r="CS31" s="22">
        <f t="shared" ref="CS31:CS32" si="466">$CG31*CE31*(1+$CH$3)*(1+$CH$4)</f>
        <v>752.93383791916108</v>
      </c>
      <c r="CT31" s="30">
        <f t="shared" si="156"/>
        <v>9035.2060550299339</v>
      </c>
      <c r="CU31" s="38">
        <v>1</v>
      </c>
      <c r="CV31" s="22">
        <f t="shared" ref="CV31:CV32" si="467">$CU31*CH31*(1+$CV$3)*(1+$CV$4)</f>
        <v>838.01536160402634</v>
      </c>
      <c r="CW31" s="22">
        <f t="shared" ref="CW31:CW32" si="468">$CU31*CI31*(1+$CV$3)*(1+$CV$4)</f>
        <v>838.01536160402634</v>
      </c>
      <c r="CX31" s="22">
        <f t="shared" ref="CX31:CX32" si="469">$CU31*CJ31*(1+$CV$3)*(1+$CV$4)</f>
        <v>838.01536160402634</v>
      </c>
      <c r="CY31" s="22">
        <f t="shared" ref="CY31:CY32" si="470">$CU31*CK31*(1+$CV$3)*(1+$CV$4)</f>
        <v>838.01536160402634</v>
      </c>
      <c r="CZ31" s="22">
        <f t="shared" ref="CZ31:CZ32" si="471">$CU31*CL31*(1+$CV$3)*(1+$CV$4)</f>
        <v>838.01536160402634</v>
      </c>
      <c r="DA31" s="22">
        <f t="shared" ref="DA31:DA32" si="472">$CU31*CM31*(1+$CV$3)*(1+$CV$4)</f>
        <v>838.01536160402634</v>
      </c>
      <c r="DB31" s="22">
        <f t="shared" ref="DB31:DB32" si="473">$CU31*CN31*(1+$CV$3)*(1+$CV$4)</f>
        <v>838.01536160402634</v>
      </c>
      <c r="DC31" s="22">
        <f t="shared" ref="DC31:DC32" si="474">$CU31*CO31*(1+$CV$3)*(1+$CV$4)</f>
        <v>838.01536160402634</v>
      </c>
      <c r="DD31" s="22">
        <f t="shared" ref="DD31:DD32" si="475">$CU31*CP31*(1+$CV$3)*(1+$CV$4)</f>
        <v>838.01536160402634</v>
      </c>
      <c r="DE31" s="22">
        <f t="shared" ref="DE31:DE32" si="476">$CU31*CQ31*(1+$CV$3)*(1+$CV$4)</f>
        <v>838.01536160402634</v>
      </c>
      <c r="DF31" s="22">
        <f t="shared" ref="DF31:DF32" si="477">$CU31*CR31*(1+$CV$3)*(1+$CV$4)</f>
        <v>838.01536160402634</v>
      </c>
      <c r="DG31" s="22">
        <f t="shared" ref="DG31:DG32" si="478">$CU31*CS31*(1+$CV$3)*(1+$CV$4)</f>
        <v>838.01536160402634</v>
      </c>
      <c r="DH31" s="30">
        <f t="shared" si="158"/>
        <v>10056.184339248315</v>
      </c>
      <c r="DI31" s="38">
        <v>1</v>
      </c>
      <c r="DJ31" s="22">
        <f t="shared" ref="DJ31:DJ32" si="479">$DI31*CV31*(1+$DJ$3)*(1+$DJ$4)</f>
        <v>932.71109746528145</v>
      </c>
      <c r="DK31" s="22">
        <f t="shared" ref="DK31:DK32" si="480">$DI31*CW31*(1+$DJ$3)*(1+$DJ$4)</f>
        <v>932.71109746528145</v>
      </c>
      <c r="DL31" s="22">
        <f t="shared" ref="DL31:DL32" si="481">$DI31*CX31*(1+$DJ$3)*(1+$DJ$4)</f>
        <v>932.71109746528145</v>
      </c>
      <c r="DM31" s="22">
        <f t="shared" ref="DM31:DM32" si="482">$DI31*CY31*(1+$DJ$3)*(1+$DJ$4)</f>
        <v>932.71109746528145</v>
      </c>
      <c r="DN31" s="22">
        <f t="shared" ref="DN31:DN32" si="483">$DI31*CZ31*(1+$DJ$3)*(1+$DJ$4)</f>
        <v>932.71109746528145</v>
      </c>
      <c r="DO31" s="22">
        <f t="shared" ref="DO31:DO32" si="484">$DI31*DA31*(1+$DJ$3)*(1+$DJ$4)</f>
        <v>932.71109746528145</v>
      </c>
      <c r="DP31" s="22">
        <f t="shared" ref="DP31:DP32" si="485">$DI31*DB31*(1+$DJ$3)*(1+$DJ$4)</f>
        <v>932.71109746528145</v>
      </c>
      <c r="DQ31" s="22">
        <f t="shared" ref="DQ31:DQ32" si="486">$DI31*DC31*(1+$DJ$3)*(1+$DJ$4)</f>
        <v>932.71109746528145</v>
      </c>
      <c r="DR31" s="22">
        <f t="shared" ref="DR31:DR32" si="487">$DI31*DD31*(1+$DJ$3)*(1+$DJ$4)</f>
        <v>932.71109746528145</v>
      </c>
      <c r="DS31" s="22">
        <f t="shared" ref="DS31:DS32" si="488">$DI31*DE31*(1+$DJ$3)*(1+$DJ$4)</f>
        <v>932.71109746528145</v>
      </c>
      <c r="DT31" s="22">
        <f t="shared" ref="DT31:DT32" si="489">$DI31*DF31*(1+$DJ$3)*(1+$DJ$4)</f>
        <v>932.71109746528145</v>
      </c>
      <c r="DU31" s="22">
        <f t="shared" ref="DU31:DU32" si="490">$DI31*DG31*(1+$DJ$3)*(1+$DJ$4)</f>
        <v>932.71109746528145</v>
      </c>
      <c r="DV31" s="30">
        <f t="shared" si="160"/>
        <v>11192.533169583381</v>
      </c>
      <c r="DW31" s="38">
        <v>1</v>
      </c>
      <c r="DX31" s="22">
        <f t="shared" ref="DX31:DX32" si="491">$DW31*DJ31*(1+$DX$3)*(1+$DX$4)</f>
        <v>1038.1074514788584</v>
      </c>
      <c r="DY31" s="22">
        <f t="shared" ref="DY31:DY32" si="492">$DW31*DK31*(1+$DX$3)*(1+$DX$4)</f>
        <v>1038.1074514788584</v>
      </c>
      <c r="DZ31" s="22">
        <f t="shared" ref="DZ31:DZ32" si="493">$DW31*DL31*(1+$DX$3)*(1+$DX$4)</f>
        <v>1038.1074514788584</v>
      </c>
      <c r="EA31" s="22">
        <f t="shared" ref="EA31:EA32" si="494">$DW31*DM31*(1+$DX$3)*(1+$DX$4)</f>
        <v>1038.1074514788584</v>
      </c>
      <c r="EB31" s="22">
        <f t="shared" ref="EB31:EB32" si="495">$DW31*DN31*(1+$DX$3)*(1+$DX$4)</f>
        <v>1038.1074514788584</v>
      </c>
      <c r="EC31" s="22">
        <f t="shared" ref="EC31:EC32" si="496">$DW31*DO31*(1+$DX$3)*(1+$DX$4)</f>
        <v>1038.1074514788584</v>
      </c>
      <c r="ED31" s="22">
        <f t="shared" ref="ED31:ED32" si="497">$DW31*DP31*(1+$DX$3)*(1+$DX$4)</f>
        <v>1038.1074514788584</v>
      </c>
      <c r="EE31" s="22">
        <f t="shared" ref="EE31:EE32" si="498">$DW31*DQ31*(1+$DX$3)*(1+$DX$4)</f>
        <v>1038.1074514788584</v>
      </c>
      <c r="EF31" s="22">
        <f t="shared" ref="EF31:EF32" si="499">$DW31*DR31*(1+$DX$3)*(1+$DX$4)</f>
        <v>1038.1074514788584</v>
      </c>
      <c r="EG31" s="22">
        <f t="shared" ref="EG31:EG32" si="500">$DW31*DS31*(1+$DX$3)*(1+$DX$4)</f>
        <v>1038.1074514788584</v>
      </c>
      <c r="EH31" s="22">
        <f t="shared" ref="EH31:EH32" si="501">$DW31*DT31*(1+$DX$3)*(1+$DX$4)</f>
        <v>1038.1074514788584</v>
      </c>
      <c r="EI31" s="22">
        <f t="shared" ref="EI31:EI32" si="502">$DW31*DU31*(1+$DX$3)*(1+$DX$4)</f>
        <v>1038.1074514788584</v>
      </c>
      <c r="EJ31" s="30">
        <f t="shared" si="162"/>
        <v>12457.289417746297</v>
      </c>
    </row>
    <row r="32" spans="1:140">
      <c r="A32" s="8" t="s">
        <v>80</v>
      </c>
      <c r="B32" s="22">
        <f>12*B7</f>
        <v>17760</v>
      </c>
      <c r="C32" s="22">
        <f t="shared" ref="C32:M32" si="503">B32*(1+C$3)</f>
        <v>17760</v>
      </c>
      <c r="D32" s="22">
        <f t="shared" si="503"/>
        <v>17760</v>
      </c>
      <c r="E32" s="22">
        <f t="shared" si="503"/>
        <v>17760</v>
      </c>
      <c r="F32" s="22">
        <f t="shared" si="503"/>
        <v>17760</v>
      </c>
      <c r="G32" s="22">
        <f t="shared" si="503"/>
        <v>17760</v>
      </c>
      <c r="H32" s="22">
        <f t="shared" si="503"/>
        <v>17760</v>
      </c>
      <c r="I32" s="22">
        <f t="shared" si="503"/>
        <v>17760</v>
      </c>
      <c r="J32" s="22">
        <f t="shared" si="503"/>
        <v>17760</v>
      </c>
      <c r="K32" s="22">
        <f t="shared" si="503"/>
        <v>17760</v>
      </c>
      <c r="L32" s="22">
        <f t="shared" si="503"/>
        <v>17760</v>
      </c>
      <c r="M32" s="22">
        <f t="shared" si="503"/>
        <v>17760</v>
      </c>
      <c r="N32" s="30">
        <f t="shared" si="144"/>
        <v>213120</v>
      </c>
      <c r="O32" s="38">
        <v>1</v>
      </c>
      <c r="P32" s="22">
        <f t="shared" si="405"/>
        <v>19573.296000000002</v>
      </c>
      <c r="Q32" s="22">
        <f t="shared" si="406"/>
        <v>19573.296000000002</v>
      </c>
      <c r="R32" s="22">
        <f t="shared" si="406"/>
        <v>19573.296000000002</v>
      </c>
      <c r="S32" s="22">
        <f t="shared" si="406"/>
        <v>19573.296000000002</v>
      </c>
      <c r="T32" s="22">
        <f t="shared" si="406"/>
        <v>19573.296000000002</v>
      </c>
      <c r="U32" s="22">
        <f t="shared" si="406"/>
        <v>19573.296000000002</v>
      </c>
      <c r="V32" s="22">
        <f t="shared" si="406"/>
        <v>19573.296000000002</v>
      </c>
      <c r="W32" s="22">
        <f t="shared" si="406"/>
        <v>19573.296000000002</v>
      </c>
      <c r="X32" s="22">
        <f t="shared" si="406"/>
        <v>19573.296000000002</v>
      </c>
      <c r="Y32" s="22">
        <f t="shared" si="406"/>
        <v>19573.296000000002</v>
      </c>
      <c r="Z32" s="22">
        <f t="shared" si="406"/>
        <v>19573.296000000002</v>
      </c>
      <c r="AA32" s="22">
        <f t="shared" si="406"/>
        <v>19573.296000000002</v>
      </c>
      <c r="AB32" s="30">
        <f t="shared" si="146"/>
        <v>234879.55200000003</v>
      </c>
      <c r="AC32" s="38">
        <v>1</v>
      </c>
      <c r="AD32" s="22">
        <f t="shared" si="407"/>
        <v>21785.078448000007</v>
      </c>
      <c r="AE32" s="22">
        <f t="shared" si="408"/>
        <v>21785.078448000007</v>
      </c>
      <c r="AF32" s="22">
        <f t="shared" si="409"/>
        <v>21785.078448000007</v>
      </c>
      <c r="AG32" s="22">
        <f t="shared" si="410"/>
        <v>21785.078448000007</v>
      </c>
      <c r="AH32" s="22">
        <f t="shared" si="411"/>
        <v>21785.078448000007</v>
      </c>
      <c r="AI32" s="22">
        <f t="shared" si="412"/>
        <v>21785.078448000007</v>
      </c>
      <c r="AJ32" s="22">
        <f t="shared" si="413"/>
        <v>21785.078448000007</v>
      </c>
      <c r="AK32" s="22">
        <f t="shared" si="414"/>
        <v>21785.078448000007</v>
      </c>
      <c r="AL32" s="22">
        <f t="shared" si="415"/>
        <v>21785.078448000007</v>
      </c>
      <c r="AM32" s="22">
        <f t="shared" si="416"/>
        <v>21785.078448000007</v>
      </c>
      <c r="AN32" s="22">
        <f t="shared" si="417"/>
        <v>21785.078448000007</v>
      </c>
      <c r="AO32" s="22">
        <f t="shared" si="418"/>
        <v>21785.078448000007</v>
      </c>
      <c r="AP32" s="30">
        <f t="shared" si="148"/>
        <v>261420.94137600015</v>
      </c>
      <c r="AQ32" s="38">
        <v>1</v>
      </c>
      <c r="AR32" s="22">
        <f t="shared" si="419"/>
        <v>24246.792312624013</v>
      </c>
      <c r="AS32" s="22">
        <f t="shared" si="420"/>
        <v>24246.792312624013</v>
      </c>
      <c r="AT32" s="22">
        <f t="shared" si="421"/>
        <v>24246.792312624013</v>
      </c>
      <c r="AU32" s="22">
        <f t="shared" si="422"/>
        <v>24246.792312624013</v>
      </c>
      <c r="AV32" s="22">
        <f t="shared" si="423"/>
        <v>24246.792312624013</v>
      </c>
      <c r="AW32" s="22">
        <f t="shared" si="424"/>
        <v>24246.792312624013</v>
      </c>
      <c r="AX32" s="22">
        <f t="shared" si="425"/>
        <v>24246.792312624013</v>
      </c>
      <c r="AY32" s="22">
        <f t="shared" si="426"/>
        <v>24246.792312624013</v>
      </c>
      <c r="AZ32" s="22">
        <f t="shared" si="427"/>
        <v>24246.792312624013</v>
      </c>
      <c r="BA32" s="22">
        <f t="shared" si="428"/>
        <v>24246.792312624013</v>
      </c>
      <c r="BB32" s="22">
        <f t="shared" si="429"/>
        <v>24246.792312624013</v>
      </c>
      <c r="BC32" s="22">
        <f t="shared" si="430"/>
        <v>24246.792312624013</v>
      </c>
      <c r="BD32" s="30">
        <f t="shared" si="150"/>
        <v>290961.50775148819</v>
      </c>
      <c r="BE32" s="38">
        <v>1</v>
      </c>
      <c r="BF32" s="22">
        <f t="shared" si="431"/>
        <v>26986.679843950529</v>
      </c>
      <c r="BG32" s="22">
        <f t="shared" si="432"/>
        <v>26986.679843950529</v>
      </c>
      <c r="BH32" s="22">
        <f t="shared" si="433"/>
        <v>26986.679843950529</v>
      </c>
      <c r="BI32" s="22">
        <f t="shared" si="434"/>
        <v>26986.679843950529</v>
      </c>
      <c r="BJ32" s="22">
        <f t="shared" si="435"/>
        <v>26986.679843950529</v>
      </c>
      <c r="BK32" s="22">
        <f t="shared" si="436"/>
        <v>26986.679843950529</v>
      </c>
      <c r="BL32" s="22">
        <f t="shared" si="437"/>
        <v>26986.679843950529</v>
      </c>
      <c r="BM32" s="22">
        <f t="shared" si="438"/>
        <v>26986.679843950529</v>
      </c>
      <c r="BN32" s="22">
        <f t="shared" si="439"/>
        <v>26986.679843950529</v>
      </c>
      <c r="BO32" s="22">
        <f t="shared" si="440"/>
        <v>26986.679843950529</v>
      </c>
      <c r="BP32" s="22">
        <f t="shared" si="441"/>
        <v>26986.679843950529</v>
      </c>
      <c r="BQ32" s="22">
        <f t="shared" si="442"/>
        <v>26986.679843950529</v>
      </c>
      <c r="BR32" s="30">
        <f t="shared" si="152"/>
        <v>323840.15812740638</v>
      </c>
      <c r="BS32" s="38">
        <v>1</v>
      </c>
      <c r="BT32" s="22">
        <f t="shared" si="443"/>
        <v>30036.174666316943</v>
      </c>
      <c r="BU32" s="22">
        <f t="shared" si="444"/>
        <v>30036.174666316943</v>
      </c>
      <c r="BV32" s="22">
        <f t="shared" si="445"/>
        <v>30036.174666316943</v>
      </c>
      <c r="BW32" s="22">
        <f t="shared" si="446"/>
        <v>30036.174666316943</v>
      </c>
      <c r="BX32" s="22">
        <f t="shared" si="447"/>
        <v>30036.174666316943</v>
      </c>
      <c r="BY32" s="22">
        <f t="shared" si="448"/>
        <v>30036.174666316943</v>
      </c>
      <c r="BZ32" s="22">
        <f t="shared" si="449"/>
        <v>30036.174666316943</v>
      </c>
      <c r="CA32" s="22">
        <f t="shared" si="450"/>
        <v>30036.174666316943</v>
      </c>
      <c r="CB32" s="22">
        <f t="shared" si="451"/>
        <v>30036.174666316943</v>
      </c>
      <c r="CC32" s="22">
        <f t="shared" si="452"/>
        <v>30036.174666316943</v>
      </c>
      <c r="CD32" s="22">
        <f t="shared" si="453"/>
        <v>30036.174666316943</v>
      </c>
      <c r="CE32" s="22">
        <f t="shared" si="454"/>
        <v>30036.174666316943</v>
      </c>
      <c r="CF32" s="30">
        <f t="shared" si="154"/>
        <v>360434.09599580331</v>
      </c>
      <c r="CG32" s="38">
        <v>1</v>
      </c>
      <c r="CH32" s="22">
        <f t="shared" si="455"/>
        <v>33430.262403610759</v>
      </c>
      <c r="CI32" s="22">
        <f t="shared" si="456"/>
        <v>33430.262403610759</v>
      </c>
      <c r="CJ32" s="22">
        <f t="shared" si="457"/>
        <v>33430.262403610759</v>
      </c>
      <c r="CK32" s="22">
        <f t="shared" si="458"/>
        <v>33430.262403610759</v>
      </c>
      <c r="CL32" s="22">
        <f t="shared" si="459"/>
        <v>33430.262403610759</v>
      </c>
      <c r="CM32" s="22">
        <f t="shared" si="460"/>
        <v>33430.262403610759</v>
      </c>
      <c r="CN32" s="22">
        <f t="shared" si="461"/>
        <v>33430.262403610759</v>
      </c>
      <c r="CO32" s="22">
        <f t="shared" si="462"/>
        <v>33430.262403610759</v>
      </c>
      <c r="CP32" s="22">
        <f t="shared" si="463"/>
        <v>33430.262403610759</v>
      </c>
      <c r="CQ32" s="22">
        <f t="shared" si="464"/>
        <v>33430.262403610759</v>
      </c>
      <c r="CR32" s="22">
        <f t="shared" si="465"/>
        <v>33430.262403610759</v>
      </c>
      <c r="CS32" s="22">
        <f t="shared" si="466"/>
        <v>33430.262403610759</v>
      </c>
      <c r="CT32" s="30">
        <f t="shared" si="156"/>
        <v>401163.14884332899</v>
      </c>
      <c r="CU32" s="38">
        <v>1</v>
      </c>
      <c r="CV32" s="22">
        <f t="shared" si="467"/>
        <v>37207.882055218783</v>
      </c>
      <c r="CW32" s="22">
        <f t="shared" si="468"/>
        <v>37207.882055218783</v>
      </c>
      <c r="CX32" s="22">
        <f t="shared" si="469"/>
        <v>37207.882055218783</v>
      </c>
      <c r="CY32" s="22">
        <f t="shared" si="470"/>
        <v>37207.882055218783</v>
      </c>
      <c r="CZ32" s="22">
        <f t="shared" si="471"/>
        <v>37207.882055218783</v>
      </c>
      <c r="DA32" s="22">
        <f t="shared" si="472"/>
        <v>37207.882055218783</v>
      </c>
      <c r="DB32" s="22">
        <f t="shared" si="473"/>
        <v>37207.882055218783</v>
      </c>
      <c r="DC32" s="22">
        <f t="shared" si="474"/>
        <v>37207.882055218783</v>
      </c>
      <c r="DD32" s="22">
        <f t="shared" si="475"/>
        <v>37207.882055218783</v>
      </c>
      <c r="DE32" s="22">
        <f t="shared" si="476"/>
        <v>37207.882055218783</v>
      </c>
      <c r="DF32" s="22">
        <f t="shared" si="477"/>
        <v>37207.882055218783</v>
      </c>
      <c r="DG32" s="22">
        <f t="shared" si="478"/>
        <v>37207.882055218783</v>
      </c>
      <c r="DH32" s="30">
        <f t="shared" si="158"/>
        <v>446494.58466262551</v>
      </c>
      <c r="DI32" s="38">
        <v>1</v>
      </c>
      <c r="DJ32" s="22">
        <f t="shared" si="479"/>
        <v>41412.372727458511</v>
      </c>
      <c r="DK32" s="22">
        <f t="shared" si="480"/>
        <v>41412.372727458511</v>
      </c>
      <c r="DL32" s="22">
        <f t="shared" si="481"/>
        <v>41412.372727458511</v>
      </c>
      <c r="DM32" s="22">
        <f t="shared" si="482"/>
        <v>41412.372727458511</v>
      </c>
      <c r="DN32" s="22">
        <f t="shared" si="483"/>
        <v>41412.372727458511</v>
      </c>
      <c r="DO32" s="22">
        <f t="shared" si="484"/>
        <v>41412.372727458511</v>
      </c>
      <c r="DP32" s="22">
        <f t="shared" si="485"/>
        <v>41412.372727458511</v>
      </c>
      <c r="DQ32" s="22">
        <f t="shared" si="486"/>
        <v>41412.372727458511</v>
      </c>
      <c r="DR32" s="22">
        <f t="shared" si="487"/>
        <v>41412.372727458511</v>
      </c>
      <c r="DS32" s="22">
        <f t="shared" si="488"/>
        <v>41412.372727458511</v>
      </c>
      <c r="DT32" s="22">
        <f t="shared" si="489"/>
        <v>41412.372727458511</v>
      </c>
      <c r="DU32" s="22">
        <f t="shared" si="490"/>
        <v>41412.372727458511</v>
      </c>
      <c r="DV32" s="30">
        <f t="shared" si="160"/>
        <v>496948.47272950201</v>
      </c>
      <c r="DW32" s="38">
        <v>1</v>
      </c>
      <c r="DX32" s="22">
        <f t="shared" si="491"/>
        <v>46091.97084566133</v>
      </c>
      <c r="DY32" s="22">
        <f t="shared" si="492"/>
        <v>46091.97084566133</v>
      </c>
      <c r="DZ32" s="22">
        <f t="shared" si="493"/>
        <v>46091.97084566133</v>
      </c>
      <c r="EA32" s="22">
        <f t="shared" si="494"/>
        <v>46091.97084566133</v>
      </c>
      <c r="EB32" s="22">
        <f t="shared" si="495"/>
        <v>46091.97084566133</v>
      </c>
      <c r="EC32" s="22">
        <f t="shared" si="496"/>
        <v>46091.97084566133</v>
      </c>
      <c r="ED32" s="22">
        <f t="shared" si="497"/>
        <v>46091.97084566133</v>
      </c>
      <c r="EE32" s="22">
        <f t="shared" si="498"/>
        <v>46091.97084566133</v>
      </c>
      <c r="EF32" s="22">
        <f t="shared" si="499"/>
        <v>46091.97084566133</v>
      </c>
      <c r="EG32" s="22">
        <f t="shared" si="500"/>
        <v>46091.97084566133</v>
      </c>
      <c r="EH32" s="22">
        <f t="shared" si="501"/>
        <v>46091.97084566133</v>
      </c>
      <c r="EI32" s="22">
        <f t="shared" si="502"/>
        <v>46091.97084566133</v>
      </c>
      <c r="EJ32" s="30">
        <f t="shared" si="162"/>
        <v>553103.65014793607</v>
      </c>
    </row>
    <row r="33" spans="1:140">
      <c r="A33" s="8" t="s">
        <v>238</v>
      </c>
      <c r="B33" s="22">
        <v>9000</v>
      </c>
      <c r="C33" s="22">
        <f>B33</f>
        <v>9000</v>
      </c>
      <c r="D33" s="22">
        <f t="shared" ref="D33:M33" si="504">C33*(1+D$3)</f>
        <v>9000</v>
      </c>
      <c r="E33" s="22">
        <f t="shared" si="504"/>
        <v>9000</v>
      </c>
      <c r="F33" s="22">
        <f t="shared" si="504"/>
        <v>9000</v>
      </c>
      <c r="G33" s="22">
        <f t="shared" si="504"/>
        <v>9000</v>
      </c>
      <c r="H33" s="22">
        <f t="shared" si="504"/>
        <v>9000</v>
      </c>
      <c r="I33" s="22">
        <f t="shared" si="504"/>
        <v>9000</v>
      </c>
      <c r="J33" s="22">
        <f t="shared" si="504"/>
        <v>9000</v>
      </c>
      <c r="K33" s="22">
        <f t="shared" si="504"/>
        <v>9000</v>
      </c>
      <c r="L33" s="22">
        <f t="shared" si="504"/>
        <v>9000</v>
      </c>
      <c r="M33" s="22">
        <f t="shared" si="504"/>
        <v>9000</v>
      </c>
      <c r="N33" s="30">
        <f>SUM(B33:M33)</f>
        <v>108000</v>
      </c>
      <c r="O33" s="38">
        <v>1</v>
      </c>
      <c r="P33" s="22">
        <f t="shared" ref="P33:AA33" si="505">$O33*B33*(1+$P$4)</f>
        <v>9630</v>
      </c>
      <c r="Q33" s="22">
        <f t="shared" si="505"/>
        <v>9630</v>
      </c>
      <c r="R33" s="22">
        <f t="shared" si="505"/>
        <v>9630</v>
      </c>
      <c r="S33" s="22">
        <f t="shared" si="505"/>
        <v>9630</v>
      </c>
      <c r="T33" s="22">
        <f t="shared" si="505"/>
        <v>9630</v>
      </c>
      <c r="U33" s="22">
        <f t="shared" si="505"/>
        <v>9630</v>
      </c>
      <c r="V33" s="22">
        <f t="shared" si="505"/>
        <v>9630</v>
      </c>
      <c r="W33" s="22">
        <f t="shared" si="505"/>
        <v>9630</v>
      </c>
      <c r="X33" s="22">
        <f t="shared" si="505"/>
        <v>9630</v>
      </c>
      <c r="Y33" s="22">
        <f t="shared" si="505"/>
        <v>9630</v>
      </c>
      <c r="Z33" s="22">
        <f t="shared" si="505"/>
        <v>9630</v>
      </c>
      <c r="AA33" s="22">
        <f t="shared" si="505"/>
        <v>9630</v>
      </c>
      <c r="AB33" s="30">
        <f t="shared" si="146"/>
        <v>115560</v>
      </c>
      <c r="AC33" s="38">
        <v>1</v>
      </c>
      <c r="AD33" s="22">
        <f>$AC33*P33*(1+$AD$4)</f>
        <v>10207.800000000001</v>
      </c>
      <c r="AE33" s="22">
        <f t="shared" ref="AE33:AO33" si="506">$AC33*Q33*(1+$AD$4)</f>
        <v>10207.800000000001</v>
      </c>
      <c r="AF33" s="22">
        <f t="shared" si="506"/>
        <v>10207.800000000001</v>
      </c>
      <c r="AG33" s="22">
        <f t="shared" si="506"/>
        <v>10207.800000000001</v>
      </c>
      <c r="AH33" s="22">
        <f t="shared" si="506"/>
        <v>10207.800000000001</v>
      </c>
      <c r="AI33" s="22">
        <f t="shared" si="506"/>
        <v>10207.800000000001</v>
      </c>
      <c r="AJ33" s="22">
        <f t="shared" si="506"/>
        <v>10207.800000000001</v>
      </c>
      <c r="AK33" s="22">
        <f t="shared" si="506"/>
        <v>10207.800000000001</v>
      </c>
      <c r="AL33" s="22">
        <f t="shared" si="506"/>
        <v>10207.800000000001</v>
      </c>
      <c r="AM33" s="22">
        <f t="shared" si="506"/>
        <v>10207.800000000001</v>
      </c>
      <c r="AN33" s="22">
        <f t="shared" si="506"/>
        <v>10207.800000000001</v>
      </c>
      <c r="AO33" s="22">
        <f t="shared" si="506"/>
        <v>10207.800000000001</v>
      </c>
      <c r="AP33" s="30">
        <f t="shared" si="148"/>
        <v>122493.60000000002</v>
      </c>
      <c r="AQ33" s="38">
        <v>1</v>
      </c>
      <c r="AR33" s="22">
        <f>$AQ33*AD33*(1+$AR$4)</f>
        <v>10820.268000000002</v>
      </c>
      <c r="AS33" s="22">
        <f t="shared" ref="AS33:BC33" si="507">$AQ33*AE33*(1+$AR$4)</f>
        <v>10820.268000000002</v>
      </c>
      <c r="AT33" s="22">
        <f t="shared" si="507"/>
        <v>10820.268000000002</v>
      </c>
      <c r="AU33" s="22">
        <f t="shared" si="507"/>
        <v>10820.268000000002</v>
      </c>
      <c r="AV33" s="22">
        <f t="shared" si="507"/>
        <v>10820.268000000002</v>
      </c>
      <c r="AW33" s="22">
        <f t="shared" si="507"/>
        <v>10820.268000000002</v>
      </c>
      <c r="AX33" s="22">
        <f t="shared" si="507"/>
        <v>10820.268000000002</v>
      </c>
      <c r="AY33" s="22">
        <f t="shared" si="507"/>
        <v>10820.268000000002</v>
      </c>
      <c r="AZ33" s="22">
        <f t="shared" si="507"/>
        <v>10820.268000000002</v>
      </c>
      <c r="BA33" s="22">
        <f t="shared" si="507"/>
        <v>10820.268000000002</v>
      </c>
      <c r="BB33" s="22">
        <f t="shared" si="507"/>
        <v>10820.268000000002</v>
      </c>
      <c r="BC33" s="22">
        <f t="shared" si="507"/>
        <v>10820.268000000002</v>
      </c>
      <c r="BD33" s="30">
        <f t="shared" si="150"/>
        <v>129843.216</v>
      </c>
      <c r="BE33" s="38">
        <v>1</v>
      </c>
      <c r="BF33" s="22">
        <f>$BE33*AR33*(1+$BF$4)</f>
        <v>11469.484080000002</v>
      </c>
      <c r="BG33" s="22">
        <f t="shared" ref="BG33:BQ33" si="508">$BE33*AS33*(1+$BF$4)</f>
        <v>11469.484080000002</v>
      </c>
      <c r="BH33" s="22">
        <f t="shared" si="508"/>
        <v>11469.484080000002</v>
      </c>
      <c r="BI33" s="22">
        <f t="shared" si="508"/>
        <v>11469.484080000002</v>
      </c>
      <c r="BJ33" s="22">
        <f t="shared" si="508"/>
        <v>11469.484080000002</v>
      </c>
      <c r="BK33" s="22">
        <f t="shared" si="508"/>
        <v>11469.484080000002</v>
      </c>
      <c r="BL33" s="22">
        <f t="shared" si="508"/>
        <v>11469.484080000002</v>
      </c>
      <c r="BM33" s="22">
        <f t="shared" si="508"/>
        <v>11469.484080000002</v>
      </c>
      <c r="BN33" s="22">
        <f t="shared" si="508"/>
        <v>11469.484080000002</v>
      </c>
      <c r="BO33" s="22">
        <f t="shared" si="508"/>
        <v>11469.484080000002</v>
      </c>
      <c r="BP33" s="22">
        <f t="shared" si="508"/>
        <v>11469.484080000002</v>
      </c>
      <c r="BQ33" s="22">
        <f t="shared" si="508"/>
        <v>11469.484080000002</v>
      </c>
      <c r="BR33" s="30">
        <f t="shared" si="152"/>
        <v>137633.80895999999</v>
      </c>
      <c r="BS33" s="38">
        <v>1</v>
      </c>
      <c r="BT33" s="22">
        <f>$BS33*BF33*(1+$BT$4)</f>
        <v>12157.653124800003</v>
      </c>
      <c r="BU33" s="22">
        <f t="shared" ref="BU33:CE33" si="509">$BS33*BG33*(1+$BT$4)</f>
        <v>12157.653124800003</v>
      </c>
      <c r="BV33" s="22">
        <f t="shared" si="509"/>
        <v>12157.653124800003</v>
      </c>
      <c r="BW33" s="22">
        <f t="shared" si="509"/>
        <v>12157.653124800003</v>
      </c>
      <c r="BX33" s="22">
        <f t="shared" si="509"/>
        <v>12157.653124800003</v>
      </c>
      <c r="BY33" s="22">
        <f t="shared" si="509"/>
        <v>12157.653124800003</v>
      </c>
      <c r="BZ33" s="22">
        <f t="shared" si="509"/>
        <v>12157.653124800003</v>
      </c>
      <c r="CA33" s="22">
        <f t="shared" si="509"/>
        <v>12157.653124800003</v>
      </c>
      <c r="CB33" s="22">
        <f t="shared" si="509"/>
        <v>12157.653124800003</v>
      </c>
      <c r="CC33" s="22">
        <f t="shared" si="509"/>
        <v>12157.653124800003</v>
      </c>
      <c r="CD33" s="22">
        <f t="shared" si="509"/>
        <v>12157.653124800003</v>
      </c>
      <c r="CE33" s="22">
        <f t="shared" si="509"/>
        <v>12157.653124800003</v>
      </c>
      <c r="CF33" s="30">
        <f t="shared" si="154"/>
        <v>145891.83749760006</v>
      </c>
      <c r="CG33" s="38">
        <v>1</v>
      </c>
      <c r="CH33" s="22">
        <f>$CG33*BT33*(1+$CH$4)</f>
        <v>12887.112312288004</v>
      </c>
      <c r="CI33" s="22">
        <f t="shared" ref="CI33:CS33" si="510">$CG33*BU33*(1+$CH$4)</f>
        <v>12887.112312288004</v>
      </c>
      <c r="CJ33" s="22">
        <f t="shared" si="510"/>
        <v>12887.112312288004</v>
      </c>
      <c r="CK33" s="22">
        <f t="shared" si="510"/>
        <v>12887.112312288004</v>
      </c>
      <c r="CL33" s="22">
        <f t="shared" si="510"/>
        <v>12887.112312288004</v>
      </c>
      <c r="CM33" s="22">
        <f t="shared" si="510"/>
        <v>12887.112312288004</v>
      </c>
      <c r="CN33" s="22">
        <f t="shared" si="510"/>
        <v>12887.112312288004</v>
      </c>
      <c r="CO33" s="22">
        <f t="shared" si="510"/>
        <v>12887.112312288004</v>
      </c>
      <c r="CP33" s="22">
        <f t="shared" si="510"/>
        <v>12887.112312288004</v>
      </c>
      <c r="CQ33" s="22">
        <f t="shared" si="510"/>
        <v>12887.112312288004</v>
      </c>
      <c r="CR33" s="22">
        <f t="shared" si="510"/>
        <v>12887.112312288004</v>
      </c>
      <c r="CS33" s="22">
        <f t="shared" si="510"/>
        <v>12887.112312288004</v>
      </c>
      <c r="CT33" s="30">
        <f t="shared" si="156"/>
        <v>154645.34774745605</v>
      </c>
      <c r="CU33" s="38">
        <v>1</v>
      </c>
      <c r="CV33" s="22">
        <f>$CU33*CH33*(1+$CV$4)</f>
        <v>13660.339051025285</v>
      </c>
      <c r="CW33" s="22">
        <f t="shared" ref="CW33:DG33" si="511">$CU33*CI33*(1+$CV$4)</f>
        <v>13660.339051025285</v>
      </c>
      <c r="CX33" s="22">
        <f t="shared" si="511"/>
        <v>13660.339051025285</v>
      </c>
      <c r="CY33" s="22">
        <f t="shared" si="511"/>
        <v>13660.339051025285</v>
      </c>
      <c r="CZ33" s="22">
        <f t="shared" si="511"/>
        <v>13660.339051025285</v>
      </c>
      <c r="DA33" s="22">
        <f t="shared" si="511"/>
        <v>13660.339051025285</v>
      </c>
      <c r="DB33" s="22">
        <f t="shared" si="511"/>
        <v>13660.339051025285</v>
      </c>
      <c r="DC33" s="22">
        <f t="shared" si="511"/>
        <v>13660.339051025285</v>
      </c>
      <c r="DD33" s="22">
        <f t="shared" si="511"/>
        <v>13660.339051025285</v>
      </c>
      <c r="DE33" s="22">
        <f t="shared" si="511"/>
        <v>13660.339051025285</v>
      </c>
      <c r="DF33" s="22">
        <f t="shared" si="511"/>
        <v>13660.339051025285</v>
      </c>
      <c r="DG33" s="22">
        <f t="shared" si="511"/>
        <v>13660.339051025285</v>
      </c>
      <c r="DH33" s="30">
        <f t="shared" si="158"/>
        <v>163924.06861230338</v>
      </c>
      <c r="DI33" s="38">
        <v>1</v>
      </c>
      <c r="DJ33" s="22">
        <f>$DI33*CV33*(1+$DJ$4)</f>
        <v>14479.959394086804</v>
      </c>
      <c r="DK33" s="22">
        <f t="shared" ref="DK33:DU33" si="512">$DI33*CW33*(1+$DJ$4)</f>
        <v>14479.959394086804</v>
      </c>
      <c r="DL33" s="22">
        <f t="shared" si="512"/>
        <v>14479.959394086804</v>
      </c>
      <c r="DM33" s="22">
        <f t="shared" si="512"/>
        <v>14479.959394086804</v>
      </c>
      <c r="DN33" s="22">
        <f t="shared" si="512"/>
        <v>14479.959394086804</v>
      </c>
      <c r="DO33" s="22">
        <f t="shared" si="512"/>
        <v>14479.959394086804</v>
      </c>
      <c r="DP33" s="22">
        <f t="shared" si="512"/>
        <v>14479.959394086804</v>
      </c>
      <c r="DQ33" s="22">
        <f t="shared" si="512"/>
        <v>14479.959394086804</v>
      </c>
      <c r="DR33" s="22">
        <f t="shared" si="512"/>
        <v>14479.959394086804</v>
      </c>
      <c r="DS33" s="22">
        <f t="shared" si="512"/>
        <v>14479.959394086804</v>
      </c>
      <c r="DT33" s="22">
        <f t="shared" si="512"/>
        <v>14479.959394086804</v>
      </c>
      <c r="DU33" s="22">
        <f t="shared" si="512"/>
        <v>14479.959394086804</v>
      </c>
      <c r="DV33" s="30">
        <f t="shared" si="160"/>
        <v>173759.51272904163</v>
      </c>
      <c r="DW33" s="38">
        <v>1</v>
      </c>
      <c r="DX33" s="22">
        <f>$DW33*DJ33*(1+$DX$4)</f>
        <v>15348.756957732012</v>
      </c>
      <c r="DY33" s="22">
        <f t="shared" ref="DY33:EI33" si="513">$DW33*DK33*(1+$DX$4)</f>
        <v>15348.756957732012</v>
      </c>
      <c r="DZ33" s="22">
        <f t="shared" si="513"/>
        <v>15348.756957732012</v>
      </c>
      <c r="EA33" s="22">
        <f t="shared" si="513"/>
        <v>15348.756957732012</v>
      </c>
      <c r="EB33" s="22">
        <f t="shared" si="513"/>
        <v>15348.756957732012</v>
      </c>
      <c r="EC33" s="22">
        <f t="shared" si="513"/>
        <v>15348.756957732012</v>
      </c>
      <c r="ED33" s="22">
        <f t="shared" si="513"/>
        <v>15348.756957732012</v>
      </c>
      <c r="EE33" s="22">
        <f t="shared" si="513"/>
        <v>15348.756957732012</v>
      </c>
      <c r="EF33" s="22">
        <f t="shared" si="513"/>
        <v>15348.756957732012</v>
      </c>
      <c r="EG33" s="22">
        <f t="shared" si="513"/>
        <v>15348.756957732012</v>
      </c>
      <c r="EH33" s="22">
        <f t="shared" si="513"/>
        <v>15348.756957732012</v>
      </c>
      <c r="EI33" s="22">
        <f t="shared" si="513"/>
        <v>15348.756957732012</v>
      </c>
      <c r="EJ33" s="30">
        <f t="shared" si="162"/>
        <v>184185.08349278418</v>
      </c>
    </row>
    <row r="34" spans="1:140">
      <c r="A34" s="8" t="s">
        <v>239</v>
      </c>
      <c r="B34" s="22">
        <v>8000</v>
      </c>
      <c r="C34" s="22">
        <f>B34*(1+C$3)</f>
        <v>8000</v>
      </c>
      <c r="D34" s="22">
        <f t="shared" ref="D34:M34" si="514">C34*(1+D$3)</f>
        <v>8000</v>
      </c>
      <c r="E34" s="22">
        <f t="shared" si="514"/>
        <v>8000</v>
      </c>
      <c r="F34" s="22">
        <f t="shared" si="514"/>
        <v>8000</v>
      </c>
      <c r="G34" s="22">
        <f t="shared" si="514"/>
        <v>8000</v>
      </c>
      <c r="H34" s="22">
        <f t="shared" si="514"/>
        <v>8000</v>
      </c>
      <c r="I34" s="22">
        <f t="shared" si="514"/>
        <v>8000</v>
      </c>
      <c r="J34" s="22">
        <f t="shared" si="514"/>
        <v>8000</v>
      </c>
      <c r="K34" s="22">
        <f t="shared" si="514"/>
        <v>8000</v>
      </c>
      <c r="L34" s="22">
        <f t="shared" si="514"/>
        <v>8000</v>
      </c>
      <c r="M34" s="22">
        <f t="shared" si="514"/>
        <v>8000</v>
      </c>
      <c r="N34" s="30">
        <f t="shared" si="144"/>
        <v>96000</v>
      </c>
      <c r="O34" s="38">
        <v>1</v>
      </c>
      <c r="P34" s="22">
        <f>$O34*B34*(1+$P$3)*(1+$P$4)</f>
        <v>8816.8000000000011</v>
      </c>
      <c r="Q34" s="22">
        <f t="shared" ref="Q34:AA34" si="515">$O34*C34*(1+$P$3)*(1+$P$4)</f>
        <v>8816.8000000000011</v>
      </c>
      <c r="R34" s="22">
        <f t="shared" si="515"/>
        <v>8816.8000000000011</v>
      </c>
      <c r="S34" s="22">
        <f t="shared" si="515"/>
        <v>8816.8000000000011</v>
      </c>
      <c r="T34" s="22">
        <f t="shared" si="515"/>
        <v>8816.8000000000011</v>
      </c>
      <c r="U34" s="22">
        <f t="shared" si="515"/>
        <v>8816.8000000000011</v>
      </c>
      <c r="V34" s="22">
        <f t="shared" si="515"/>
        <v>8816.8000000000011</v>
      </c>
      <c r="W34" s="22">
        <f t="shared" si="515"/>
        <v>8816.8000000000011</v>
      </c>
      <c r="X34" s="22">
        <f t="shared" si="515"/>
        <v>8816.8000000000011</v>
      </c>
      <c r="Y34" s="22">
        <f t="shared" si="515"/>
        <v>8816.8000000000011</v>
      </c>
      <c r="Z34" s="22">
        <f t="shared" si="515"/>
        <v>8816.8000000000011</v>
      </c>
      <c r="AA34" s="22">
        <f t="shared" si="515"/>
        <v>8816.8000000000011</v>
      </c>
      <c r="AB34" s="30">
        <f t="shared" si="146"/>
        <v>105801.60000000002</v>
      </c>
      <c r="AC34" s="38">
        <v>1</v>
      </c>
      <c r="AD34" s="22">
        <f>$AC34*P34*(1+$AD$3)*(1+$AD$4)</f>
        <v>9813.0984000000026</v>
      </c>
      <c r="AE34" s="22">
        <f t="shared" ref="AE34:AO34" si="516">$AC34*Q34*(1+$AD$3)*(1+$AD$4)</f>
        <v>9813.0984000000026</v>
      </c>
      <c r="AF34" s="22">
        <f t="shared" si="516"/>
        <v>9813.0984000000026</v>
      </c>
      <c r="AG34" s="22">
        <f t="shared" si="516"/>
        <v>9813.0984000000026</v>
      </c>
      <c r="AH34" s="22">
        <f t="shared" si="516"/>
        <v>9813.0984000000026</v>
      </c>
      <c r="AI34" s="22">
        <f t="shared" si="516"/>
        <v>9813.0984000000026</v>
      </c>
      <c r="AJ34" s="22">
        <f t="shared" si="516"/>
        <v>9813.0984000000026</v>
      </c>
      <c r="AK34" s="22">
        <f t="shared" si="516"/>
        <v>9813.0984000000026</v>
      </c>
      <c r="AL34" s="22">
        <f t="shared" si="516"/>
        <v>9813.0984000000026</v>
      </c>
      <c r="AM34" s="22">
        <f t="shared" si="516"/>
        <v>9813.0984000000026</v>
      </c>
      <c r="AN34" s="22">
        <f t="shared" si="516"/>
        <v>9813.0984000000026</v>
      </c>
      <c r="AO34" s="22">
        <f t="shared" si="516"/>
        <v>9813.0984000000026</v>
      </c>
      <c r="AP34" s="30">
        <f t="shared" si="148"/>
        <v>117757.18080000003</v>
      </c>
      <c r="AQ34" s="38">
        <v>1</v>
      </c>
      <c r="AR34" s="22">
        <f>$AQ34*AD34*(1+$AR$3)*(1+$AR$4)</f>
        <v>10921.978519200004</v>
      </c>
      <c r="AS34" s="22">
        <f t="shared" ref="AS34:BC34" si="517">$AQ34*AE34*(1+$AR$3)*(1+$AR$4)</f>
        <v>10921.978519200004</v>
      </c>
      <c r="AT34" s="22">
        <f t="shared" si="517"/>
        <v>10921.978519200004</v>
      </c>
      <c r="AU34" s="22">
        <f t="shared" si="517"/>
        <v>10921.978519200004</v>
      </c>
      <c r="AV34" s="22">
        <f t="shared" si="517"/>
        <v>10921.978519200004</v>
      </c>
      <c r="AW34" s="22">
        <f t="shared" si="517"/>
        <v>10921.978519200004</v>
      </c>
      <c r="AX34" s="22">
        <f t="shared" si="517"/>
        <v>10921.978519200004</v>
      </c>
      <c r="AY34" s="22">
        <f t="shared" si="517"/>
        <v>10921.978519200004</v>
      </c>
      <c r="AZ34" s="22">
        <f t="shared" si="517"/>
        <v>10921.978519200004</v>
      </c>
      <c r="BA34" s="22">
        <f t="shared" si="517"/>
        <v>10921.978519200004</v>
      </c>
      <c r="BB34" s="22">
        <f t="shared" si="517"/>
        <v>10921.978519200004</v>
      </c>
      <c r="BC34" s="22">
        <f t="shared" si="517"/>
        <v>10921.978519200004</v>
      </c>
      <c r="BD34" s="30">
        <f t="shared" si="150"/>
        <v>131063.74223040002</v>
      </c>
      <c r="BE34" s="38">
        <v>1</v>
      </c>
      <c r="BF34" s="22">
        <f>$BE34*AR34*(1+$BF$3)*(1+$BF$4)</f>
        <v>12156.162091869606</v>
      </c>
      <c r="BG34" s="22">
        <f t="shared" ref="BG34:BQ34" si="518">$BE34*AS34*(1+$BF$3)*(1+$BF$4)</f>
        <v>12156.162091869606</v>
      </c>
      <c r="BH34" s="22">
        <f t="shared" si="518"/>
        <v>12156.162091869606</v>
      </c>
      <c r="BI34" s="22">
        <f t="shared" si="518"/>
        <v>12156.162091869606</v>
      </c>
      <c r="BJ34" s="22">
        <f t="shared" si="518"/>
        <v>12156.162091869606</v>
      </c>
      <c r="BK34" s="22">
        <f t="shared" si="518"/>
        <v>12156.162091869606</v>
      </c>
      <c r="BL34" s="22">
        <f t="shared" si="518"/>
        <v>12156.162091869606</v>
      </c>
      <c r="BM34" s="22">
        <f t="shared" si="518"/>
        <v>12156.162091869606</v>
      </c>
      <c r="BN34" s="22">
        <f t="shared" si="518"/>
        <v>12156.162091869606</v>
      </c>
      <c r="BO34" s="22">
        <f t="shared" si="518"/>
        <v>12156.162091869606</v>
      </c>
      <c r="BP34" s="22">
        <f t="shared" si="518"/>
        <v>12156.162091869606</v>
      </c>
      <c r="BQ34" s="22">
        <f t="shared" si="518"/>
        <v>12156.162091869606</v>
      </c>
      <c r="BR34" s="30">
        <f t="shared" si="152"/>
        <v>145873.94510243525</v>
      </c>
      <c r="BS34" s="38">
        <v>1</v>
      </c>
      <c r="BT34" s="22">
        <f>$BS34*BF34*(1+$BT$3)*(1+$BT$4)</f>
        <v>13529.808408250874</v>
      </c>
      <c r="BU34" s="22">
        <f t="shared" ref="BU34:CE34" si="519">$BS34*BG34*(1+$BT$3)*(1+$BT$4)</f>
        <v>13529.808408250874</v>
      </c>
      <c r="BV34" s="22">
        <f t="shared" si="519"/>
        <v>13529.808408250874</v>
      </c>
      <c r="BW34" s="22">
        <f t="shared" si="519"/>
        <v>13529.808408250874</v>
      </c>
      <c r="BX34" s="22">
        <f t="shared" si="519"/>
        <v>13529.808408250874</v>
      </c>
      <c r="BY34" s="22">
        <f t="shared" si="519"/>
        <v>13529.808408250874</v>
      </c>
      <c r="BZ34" s="22">
        <f t="shared" si="519"/>
        <v>13529.808408250874</v>
      </c>
      <c r="CA34" s="22">
        <f t="shared" si="519"/>
        <v>13529.808408250874</v>
      </c>
      <c r="CB34" s="22">
        <f t="shared" si="519"/>
        <v>13529.808408250874</v>
      </c>
      <c r="CC34" s="22">
        <f t="shared" si="519"/>
        <v>13529.808408250874</v>
      </c>
      <c r="CD34" s="22">
        <f t="shared" si="519"/>
        <v>13529.808408250874</v>
      </c>
      <c r="CE34" s="22">
        <f t="shared" si="519"/>
        <v>13529.808408250874</v>
      </c>
      <c r="CF34" s="30">
        <f t="shared" si="154"/>
        <v>162357.70089901052</v>
      </c>
      <c r="CG34" s="38">
        <v>1</v>
      </c>
      <c r="CH34" s="22">
        <f>$CG34*BT34*(1+$CH$3)*(1+$CH$4)</f>
        <v>15058.676758383224</v>
      </c>
      <c r="CI34" s="22">
        <f t="shared" ref="CI34:CS34" si="520">$CG34*BU34*(1+$CH$3)*(1+$CH$4)</f>
        <v>15058.676758383224</v>
      </c>
      <c r="CJ34" s="22">
        <f t="shared" si="520"/>
        <v>15058.676758383224</v>
      </c>
      <c r="CK34" s="22">
        <f t="shared" si="520"/>
        <v>15058.676758383224</v>
      </c>
      <c r="CL34" s="22">
        <f t="shared" si="520"/>
        <v>15058.676758383224</v>
      </c>
      <c r="CM34" s="22">
        <f t="shared" si="520"/>
        <v>15058.676758383224</v>
      </c>
      <c r="CN34" s="22">
        <f t="shared" si="520"/>
        <v>15058.676758383224</v>
      </c>
      <c r="CO34" s="22">
        <f t="shared" si="520"/>
        <v>15058.676758383224</v>
      </c>
      <c r="CP34" s="22">
        <f t="shared" si="520"/>
        <v>15058.676758383224</v>
      </c>
      <c r="CQ34" s="22">
        <f t="shared" si="520"/>
        <v>15058.676758383224</v>
      </c>
      <c r="CR34" s="22">
        <f t="shared" si="520"/>
        <v>15058.676758383224</v>
      </c>
      <c r="CS34" s="22">
        <f t="shared" si="520"/>
        <v>15058.676758383224</v>
      </c>
      <c r="CT34" s="30">
        <f t="shared" si="156"/>
        <v>180704.12110059868</v>
      </c>
      <c r="CU34" s="38">
        <v>1</v>
      </c>
      <c r="CV34" s="22">
        <f>$CU34*CH34*(1+$CV$3)*(1+$CV$4)</f>
        <v>16760.30723208053</v>
      </c>
      <c r="CW34" s="22">
        <f t="shared" ref="CW34:DG34" si="521">$CU34*CI34*(1+$CV$3)*(1+$CV$4)</f>
        <v>16760.30723208053</v>
      </c>
      <c r="CX34" s="22">
        <f t="shared" si="521"/>
        <v>16760.30723208053</v>
      </c>
      <c r="CY34" s="22">
        <f t="shared" si="521"/>
        <v>16760.30723208053</v>
      </c>
      <c r="CZ34" s="22">
        <f t="shared" si="521"/>
        <v>16760.30723208053</v>
      </c>
      <c r="DA34" s="22">
        <f t="shared" si="521"/>
        <v>16760.30723208053</v>
      </c>
      <c r="DB34" s="22">
        <f t="shared" si="521"/>
        <v>16760.30723208053</v>
      </c>
      <c r="DC34" s="22">
        <f t="shared" si="521"/>
        <v>16760.30723208053</v>
      </c>
      <c r="DD34" s="22">
        <f t="shared" si="521"/>
        <v>16760.30723208053</v>
      </c>
      <c r="DE34" s="22">
        <f t="shared" si="521"/>
        <v>16760.30723208053</v>
      </c>
      <c r="DF34" s="22">
        <f t="shared" si="521"/>
        <v>16760.30723208053</v>
      </c>
      <c r="DG34" s="22">
        <f t="shared" si="521"/>
        <v>16760.30723208053</v>
      </c>
      <c r="DH34" s="30">
        <f t="shared" si="158"/>
        <v>201123.6867849663</v>
      </c>
      <c r="DI34" s="38">
        <v>1</v>
      </c>
      <c r="DJ34" s="22">
        <f>$DI34*CV34*(1+$DJ$3)*(1+$DJ$4)</f>
        <v>18654.221949305629</v>
      </c>
      <c r="DK34" s="22">
        <f t="shared" ref="DK34:DU34" si="522">$DI34*CW34*(1+$DJ$3)*(1+$DJ$4)</f>
        <v>18654.221949305629</v>
      </c>
      <c r="DL34" s="22">
        <f t="shared" si="522"/>
        <v>18654.221949305629</v>
      </c>
      <c r="DM34" s="22">
        <f t="shared" si="522"/>
        <v>18654.221949305629</v>
      </c>
      <c r="DN34" s="22">
        <f t="shared" si="522"/>
        <v>18654.221949305629</v>
      </c>
      <c r="DO34" s="22">
        <f t="shared" si="522"/>
        <v>18654.221949305629</v>
      </c>
      <c r="DP34" s="22">
        <f t="shared" si="522"/>
        <v>18654.221949305629</v>
      </c>
      <c r="DQ34" s="22">
        <f t="shared" si="522"/>
        <v>18654.221949305629</v>
      </c>
      <c r="DR34" s="22">
        <f t="shared" si="522"/>
        <v>18654.221949305629</v>
      </c>
      <c r="DS34" s="22">
        <f t="shared" si="522"/>
        <v>18654.221949305629</v>
      </c>
      <c r="DT34" s="22">
        <f t="shared" si="522"/>
        <v>18654.221949305629</v>
      </c>
      <c r="DU34" s="22">
        <f t="shared" si="522"/>
        <v>18654.221949305629</v>
      </c>
      <c r="DV34" s="30">
        <f t="shared" si="160"/>
        <v>223850.66339166751</v>
      </c>
      <c r="DW34" s="38">
        <v>1</v>
      </c>
      <c r="DX34" s="22">
        <f>$DW34*DJ34*(1+$DX$3)*(1+$DX$4)</f>
        <v>20762.149029577165</v>
      </c>
      <c r="DY34" s="22">
        <f t="shared" ref="DY34:EI34" si="523">$DW34*DK34*(1+$DX$3)*(1+$DX$4)</f>
        <v>20762.149029577165</v>
      </c>
      <c r="DZ34" s="22">
        <f t="shared" si="523"/>
        <v>20762.149029577165</v>
      </c>
      <c r="EA34" s="22">
        <f t="shared" si="523"/>
        <v>20762.149029577165</v>
      </c>
      <c r="EB34" s="22">
        <f t="shared" si="523"/>
        <v>20762.149029577165</v>
      </c>
      <c r="EC34" s="22">
        <f t="shared" si="523"/>
        <v>20762.149029577165</v>
      </c>
      <c r="ED34" s="22">
        <f t="shared" si="523"/>
        <v>20762.149029577165</v>
      </c>
      <c r="EE34" s="22">
        <f t="shared" si="523"/>
        <v>20762.149029577165</v>
      </c>
      <c r="EF34" s="22">
        <f t="shared" si="523"/>
        <v>20762.149029577165</v>
      </c>
      <c r="EG34" s="22">
        <f t="shared" si="523"/>
        <v>20762.149029577165</v>
      </c>
      <c r="EH34" s="22">
        <f t="shared" si="523"/>
        <v>20762.149029577165</v>
      </c>
      <c r="EI34" s="22">
        <f t="shared" si="523"/>
        <v>20762.149029577165</v>
      </c>
      <c r="EJ34" s="30">
        <f t="shared" si="162"/>
        <v>249145.78835492593</v>
      </c>
    </row>
    <row r="35" spans="1:140">
      <c r="A35" s="18" t="s">
        <v>240</v>
      </c>
      <c r="B35" s="30">
        <f>SUM(B36:B40)</f>
        <v>46000</v>
      </c>
      <c r="C35" s="30">
        <f t="shared" ref="C35:M35" si="524">SUM(C36:C40)</f>
        <v>46000</v>
      </c>
      <c r="D35" s="30">
        <f t="shared" si="524"/>
        <v>46000</v>
      </c>
      <c r="E35" s="30">
        <f t="shared" si="524"/>
        <v>46000</v>
      </c>
      <c r="F35" s="30">
        <f t="shared" si="524"/>
        <v>46000</v>
      </c>
      <c r="G35" s="30">
        <f t="shared" si="524"/>
        <v>46000</v>
      </c>
      <c r="H35" s="30">
        <f t="shared" si="524"/>
        <v>46000</v>
      </c>
      <c r="I35" s="30">
        <f t="shared" si="524"/>
        <v>46000</v>
      </c>
      <c r="J35" s="30">
        <f t="shared" si="524"/>
        <v>46000</v>
      </c>
      <c r="K35" s="30">
        <f t="shared" si="524"/>
        <v>46000</v>
      </c>
      <c r="L35" s="30">
        <f t="shared" si="524"/>
        <v>46000</v>
      </c>
      <c r="M35" s="30">
        <f t="shared" si="524"/>
        <v>46000</v>
      </c>
      <c r="N35" s="30">
        <f t="shared" si="144"/>
        <v>552000</v>
      </c>
      <c r="O35" s="38"/>
      <c r="P35" s="30">
        <f>SUM(P36:P40)</f>
        <v>49220</v>
      </c>
      <c r="Q35" s="30">
        <f t="shared" ref="Q35" si="525">SUM(Q36:Q40)</f>
        <v>49220</v>
      </c>
      <c r="R35" s="30">
        <f t="shared" ref="R35" si="526">SUM(R36:R40)</f>
        <v>49220</v>
      </c>
      <c r="S35" s="30">
        <f t="shared" ref="S35" si="527">SUM(S36:S40)</f>
        <v>49220</v>
      </c>
      <c r="T35" s="30">
        <f t="shared" ref="T35" si="528">SUM(T36:T40)</f>
        <v>49220</v>
      </c>
      <c r="U35" s="30">
        <f t="shared" ref="U35" si="529">SUM(U36:U40)</f>
        <v>49220</v>
      </c>
      <c r="V35" s="30">
        <f t="shared" ref="V35" si="530">SUM(V36:V40)</f>
        <v>49220</v>
      </c>
      <c r="W35" s="30">
        <f t="shared" ref="W35" si="531">SUM(W36:W40)</f>
        <v>49220</v>
      </c>
      <c r="X35" s="30">
        <f t="shared" ref="X35" si="532">SUM(X36:X40)</f>
        <v>49220</v>
      </c>
      <c r="Y35" s="30">
        <f t="shared" ref="Y35" si="533">SUM(Y36:Y40)</f>
        <v>49220</v>
      </c>
      <c r="Z35" s="30">
        <f t="shared" ref="Z35" si="534">SUM(Z36:Z40)</f>
        <v>49220</v>
      </c>
      <c r="AA35" s="30">
        <f t="shared" ref="AA35" si="535">SUM(AA36:AA40)</f>
        <v>49220</v>
      </c>
      <c r="AB35" s="30">
        <f t="shared" si="146"/>
        <v>590640</v>
      </c>
      <c r="AC35" s="38"/>
      <c r="AD35" s="30">
        <f>SUM(AD36:AD40)</f>
        <v>52173.2</v>
      </c>
      <c r="AE35" s="30">
        <f t="shared" ref="AE35" si="536">SUM(AE36:AE40)</f>
        <v>52173.2</v>
      </c>
      <c r="AF35" s="30">
        <f t="shared" ref="AF35" si="537">SUM(AF36:AF40)</f>
        <v>52173.2</v>
      </c>
      <c r="AG35" s="30">
        <f t="shared" ref="AG35" si="538">SUM(AG36:AG40)</f>
        <v>52173.2</v>
      </c>
      <c r="AH35" s="30">
        <f t="shared" ref="AH35" si="539">SUM(AH36:AH40)</f>
        <v>52173.2</v>
      </c>
      <c r="AI35" s="30">
        <f t="shared" ref="AI35" si="540">SUM(AI36:AI40)</f>
        <v>52173.2</v>
      </c>
      <c r="AJ35" s="30">
        <f t="shared" ref="AJ35" si="541">SUM(AJ36:AJ40)</f>
        <v>52173.2</v>
      </c>
      <c r="AK35" s="30">
        <f t="shared" ref="AK35" si="542">SUM(AK36:AK40)</f>
        <v>52173.2</v>
      </c>
      <c r="AL35" s="30">
        <f t="shared" ref="AL35" si="543">SUM(AL36:AL40)</f>
        <v>52173.2</v>
      </c>
      <c r="AM35" s="30">
        <f t="shared" ref="AM35" si="544">SUM(AM36:AM40)</f>
        <v>52173.2</v>
      </c>
      <c r="AN35" s="30">
        <f t="shared" ref="AN35" si="545">SUM(AN36:AN40)</f>
        <v>52173.2</v>
      </c>
      <c r="AO35" s="30">
        <f t="shared" ref="AO35" si="546">SUM(AO36:AO40)</f>
        <v>52173.2</v>
      </c>
      <c r="AP35" s="30">
        <f t="shared" si="148"/>
        <v>626078.4</v>
      </c>
      <c r="AQ35" s="38"/>
      <c r="AR35" s="30">
        <f>SUM(AR36:AR40)</f>
        <v>55303.592000000011</v>
      </c>
      <c r="AS35" s="30">
        <f t="shared" ref="AS35" si="547">SUM(AS36:AS40)</f>
        <v>55303.592000000011</v>
      </c>
      <c r="AT35" s="30">
        <f t="shared" ref="AT35" si="548">SUM(AT36:AT40)</f>
        <v>55303.592000000011</v>
      </c>
      <c r="AU35" s="30">
        <f t="shared" ref="AU35" si="549">SUM(AU36:AU40)</f>
        <v>55303.592000000011</v>
      </c>
      <c r="AV35" s="30">
        <f t="shared" ref="AV35" si="550">SUM(AV36:AV40)</f>
        <v>55303.592000000011</v>
      </c>
      <c r="AW35" s="30">
        <f t="shared" ref="AW35" si="551">SUM(AW36:AW40)</f>
        <v>55303.592000000011</v>
      </c>
      <c r="AX35" s="30">
        <f t="shared" ref="AX35" si="552">SUM(AX36:AX40)</f>
        <v>55303.592000000011</v>
      </c>
      <c r="AY35" s="30">
        <f t="shared" ref="AY35" si="553">SUM(AY36:AY40)</f>
        <v>55303.592000000011</v>
      </c>
      <c r="AZ35" s="30">
        <f t="shared" ref="AZ35" si="554">SUM(AZ36:AZ40)</f>
        <v>55303.592000000011</v>
      </c>
      <c r="BA35" s="30">
        <f t="shared" ref="BA35" si="555">SUM(BA36:BA40)</f>
        <v>55303.592000000011</v>
      </c>
      <c r="BB35" s="30">
        <f t="shared" ref="BB35" si="556">SUM(BB36:BB40)</f>
        <v>55303.592000000011</v>
      </c>
      <c r="BC35" s="30">
        <f t="shared" ref="BC35" si="557">SUM(BC36:BC40)</f>
        <v>55303.592000000011</v>
      </c>
      <c r="BD35" s="30">
        <f t="shared" si="150"/>
        <v>663643.10400000028</v>
      </c>
      <c r="BE35" s="38"/>
      <c r="BF35" s="30">
        <f>SUM(BF36:BF40)</f>
        <v>58621.807520000017</v>
      </c>
      <c r="BG35" s="30">
        <f t="shared" ref="BG35" si="558">SUM(BG36:BG40)</f>
        <v>58621.807520000017</v>
      </c>
      <c r="BH35" s="30">
        <f t="shared" ref="BH35" si="559">SUM(BH36:BH40)</f>
        <v>58621.807520000017</v>
      </c>
      <c r="BI35" s="30">
        <f t="shared" ref="BI35" si="560">SUM(BI36:BI40)</f>
        <v>58621.807520000017</v>
      </c>
      <c r="BJ35" s="30">
        <f t="shared" ref="BJ35" si="561">SUM(BJ36:BJ40)</f>
        <v>58621.807520000017</v>
      </c>
      <c r="BK35" s="30">
        <f t="shared" ref="BK35" si="562">SUM(BK36:BK40)</f>
        <v>58621.807520000017</v>
      </c>
      <c r="BL35" s="30">
        <f t="shared" ref="BL35" si="563">SUM(BL36:BL40)</f>
        <v>58621.807520000017</v>
      </c>
      <c r="BM35" s="30">
        <f t="shared" ref="BM35" si="564">SUM(BM36:BM40)</f>
        <v>58621.807520000017</v>
      </c>
      <c r="BN35" s="30">
        <f t="shared" ref="BN35" si="565">SUM(BN36:BN40)</f>
        <v>58621.807520000017</v>
      </c>
      <c r="BO35" s="30">
        <f t="shared" ref="BO35" si="566">SUM(BO36:BO40)</f>
        <v>58621.807520000017</v>
      </c>
      <c r="BP35" s="30">
        <f t="shared" ref="BP35" si="567">SUM(BP36:BP40)</f>
        <v>58621.807520000017</v>
      </c>
      <c r="BQ35" s="30">
        <f t="shared" ref="BQ35" si="568">SUM(BQ36:BQ40)</f>
        <v>58621.807520000017</v>
      </c>
      <c r="BR35" s="30">
        <f t="shared" si="152"/>
        <v>703461.69024000026</v>
      </c>
      <c r="BS35" s="38"/>
      <c r="BT35" s="30">
        <f>SUM(BT36:BT40)</f>
        <v>62139.115971200008</v>
      </c>
      <c r="BU35" s="30">
        <f t="shared" ref="BU35" si="569">SUM(BU36:BU40)</f>
        <v>62139.115971200008</v>
      </c>
      <c r="BV35" s="30">
        <f t="shared" ref="BV35" si="570">SUM(BV36:BV40)</f>
        <v>62139.115971200008</v>
      </c>
      <c r="BW35" s="30">
        <f t="shared" ref="BW35" si="571">SUM(BW36:BW40)</f>
        <v>62139.115971200008</v>
      </c>
      <c r="BX35" s="30">
        <f t="shared" ref="BX35" si="572">SUM(BX36:BX40)</f>
        <v>62139.115971200008</v>
      </c>
      <c r="BY35" s="30">
        <f t="shared" ref="BY35" si="573">SUM(BY36:BY40)</f>
        <v>62139.115971200008</v>
      </c>
      <c r="BZ35" s="30">
        <f t="shared" ref="BZ35" si="574">SUM(BZ36:BZ40)</f>
        <v>62139.115971200008</v>
      </c>
      <c r="CA35" s="30">
        <f t="shared" ref="CA35" si="575">SUM(CA36:CA40)</f>
        <v>62139.115971200008</v>
      </c>
      <c r="CB35" s="30">
        <f t="shared" ref="CB35" si="576">SUM(CB36:CB40)</f>
        <v>62139.115971200008</v>
      </c>
      <c r="CC35" s="30">
        <f t="shared" ref="CC35" si="577">SUM(CC36:CC40)</f>
        <v>62139.115971200008</v>
      </c>
      <c r="CD35" s="30">
        <f t="shared" ref="CD35" si="578">SUM(CD36:CD40)</f>
        <v>62139.115971200008</v>
      </c>
      <c r="CE35" s="30">
        <f t="shared" ref="CE35" si="579">SUM(CE36:CE40)</f>
        <v>62139.115971200008</v>
      </c>
      <c r="CF35" s="30">
        <f t="shared" si="154"/>
        <v>745669.39165440015</v>
      </c>
      <c r="CG35" s="38"/>
      <c r="CH35" s="30">
        <f>SUM(CH36:CH40)</f>
        <v>65867.462929472022</v>
      </c>
      <c r="CI35" s="30">
        <f t="shared" ref="CI35" si="580">SUM(CI36:CI40)</f>
        <v>65867.462929472022</v>
      </c>
      <c r="CJ35" s="30">
        <f t="shared" ref="CJ35" si="581">SUM(CJ36:CJ40)</f>
        <v>65867.462929472022</v>
      </c>
      <c r="CK35" s="30">
        <f t="shared" ref="CK35" si="582">SUM(CK36:CK40)</f>
        <v>65867.462929472022</v>
      </c>
      <c r="CL35" s="30">
        <f t="shared" ref="CL35" si="583">SUM(CL36:CL40)</f>
        <v>65867.462929472022</v>
      </c>
      <c r="CM35" s="30">
        <f t="shared" ref="CM35" si="584">SUM(CM36:CM40)</f>
        <v>65867.462929472022</v>
      </c>
      <c r="CN35" s="30">
        <f t="shared" ref="CN35" si="585">SUM(CN36:CN40)</f>
        <v>65867.462929472022</v>
      </c>
      <c r="CO35" s="30">
        <f t="shared" ref="CO35" si="586">SUM(CO36:CO40)</f>
        <v>65867.462929472022</v>
      </c>
      <c r="CP35" s="30">
        <f t="shared" ref="CP35" si="587">SUM(CP36:CP40)</f>
        <v>65867.462929472022</v>
      </c>
      <c r="CQ35" s="30">
        <f t="shared" ref="CQ35" si="588">SUM(CQ36:CQ40)</f>
        <v>65867.462929472022</v>
      </c>
      <c r="CR35" s="30">
        <f t="shared" ref="CR35" si="589">SUM(CR36:CR40)</f>
        <v>65867.462929472022</v>
      </c>
      <c r="CS35" s="30">
        <f t="shared" ref="CS35" si="590">SUM(CS36:CS40)</f>
        <v>65867.462929472022</v>
      </c>
      <c r="CT35" s="30">
        <f t="shared" si="156"/>
        <v>790409.55515366409</v>
      </c>
      <c r="CU35" s="38"/>
      <c r="CV35" s="30">
        <f>SUM(CV36:CV40)</f>
        <v>69819.510705240347</v>
      </c>
      <c r="CW35" s="30">
        <f t="shared" ref="CW35" si="591">SUM(CW36:CW40)</f>
        <v>69819.510705240347</v>
      </c>
      <c r="CX35" s="30">
        <f t="shared" ref="CX35" si="592">SUM(CX36:CX40)</f>
        <v>69819.510705240347</v>
      </c>
      <c r="CY35" s="30">
        <f t="shared" ref="CY35" si="593">SUM(CY36:CY40)</f>
        <v>69819.510705240347</v>
      </c>
      <c r="CZ35" s="30">
        <f t="shared" ref="CZ35" si="594">SUM(CZ36:CZ40)</f>
        <v>69819.510705240347</v>
      </c>
      <c r="DA35" s="30">
        <f t="shared" ref="DA35" si="595">SUM(DA36:DA40)</f>
        <v>69819.510705240347</v>
      </c>
      <c r="DB35" s="30">
        <f t="shared" ref="DB35" si="596">SUM(DB36:DB40)</f>
        <v>69819.510705240347</v>
      </c>
      <c r="DC35" s="30">
        <f t="shared" ref="DC35" si="597">SUM(DC36:DC40)</f>
        <v>69819.510705240347</v>
      </c>
      <c r="DD35" s="30">
        <f t="shared" ref="DD35" si="598">SUM(DD36:DD40)</f>
        <v>69819.510705240347</v>
      </c>
      <c r="DE35" s="30">
        <f t="shared" ref="DE35" si="599">SUM(DE36:DE40)</f>
        <v>69819.510705240347</v>
      </c>
      <c r="DF35" s="30">
        <f t="shared" ref="DF35" si="600">SUM(DF36:DF40)</f>
        <v>69819.510705240347</v>
      </c>
      <c r="DG35" s="30">
        <f t="shared" ref="DG35" si="601">SUM(DG36:DG40)</f>
        <v>69819.510705240347</v>
      </c>
      <c r="DH35" s="30">
        <f t="shared" si="158"/>
        <v>837834.12846288399</v>
      </c>
      <c r="DI35" s="38"/>
      <c r="DJ35" s="30">
        <f>SUM(DJ36:DJ40)</f>
        <v>74008.681347554768</v>
      </c>
      <c r="DK35" s="30">
        <f t="shared" ref="DK35" si="602">SUM(DK36:DK40)</f>
        <v>74008.681347554768</v>
      </c>
      <c r="DL35" s="30">
        <f t="shared" ref="DL35" si="603">SUM(DL36:DL40)</f>
        <v>74008.681347554768</v>
      </c>
      <c r="DM35" s="30">
        <f t="shared" ref="DM35" si="604">SUM(DM36:DM40)</f>
        <v>74008.681347554768</v>
      </c>
      <c r="DN35" s="30">
        <f t="shared" ref="DN35" si="605">SUM(DN36:DN40)</f>
        <v>74008.681347554768</v>
      </c>
      <c r="DO35" s="30">
        <f t="shared" ref="DO35" si="606">SUM(DO36:DO40)</f>
        <v>74008.681347554768</v>
      </c>
      <c r="DP35" s="30">
        <f t="shared" ref="DP35" si="607">SUM(DP36:DP40)</f>
        <v>74008.681347554768</v>
      </c>
      <c r="DQ35" s="30">
        <f t="shared" ref="DQ35" si="608">SUM(DQ36:DQ40)</f>
        <v>74008.681347554768</v>
      </c>
      <c r="DR35" s="30">
        <f t="shared" ref="DR35" si="609">SUM(DR36:DR40)</f>
        <v>74008.681347554768</v>
      </c>
      <c r="DS35" s="30">
        <f t="shared" ref="DS35" si="610">SUM(DS36:DS40)</f>
        <v>74008.681347554768</v>
      </c>
      <c r="DT35" s="30">
        <f t="shared" ref="DT35" si="611">SUM(DT36:DT40)</f>
        <v>74008.681347554768</v>
      </c>
      <c r="DU35" s="30">
        <f t="shared" ref="DU35" si="612">SUM(DU36:DU40)</f>
        <v>74008.681347554768</v>
      </c>
      <c r="DV35" s="30">
        <f t="shared" si="160"/>
        <v>888104.17617065727</v>
      </c>
      <c r="DW35" s="38"/>
      <c r="DX35" s="30">
        <f>SUM(DX36:DX40)</f>
        <v>78449.202228408059</v>
      </c>
      <c r="DY35" s="30">
        <f t="shared" ref="DY35" si="613">SUM(DY36:DY40)</f>
        <v>78449.202228408059</v>
      </c>
      <c r="DZ35" s="30">
        <f t="shared" ref="DZ35" si="614">SUM(DZ36:DZ40)</f>
        <v>78449.202228408059</v>
      </c>
      <c r="EA35" s="30">
        <f t="shared" ref="EA35" si="615">SUM(EA36:EA40)</f>
        <v>78449.202228408059</v>
      </c>
      <c r="EB35" s="30">
        <f t="shared" ref="EB35" si="616">SUM(EB36:EB40)</f>
        <v>78449.202228408059</v>
      </c>
      <c r="EC35" s="30">
        <f t="shared" ref="EC35" si="617">SUM(EC36:EC40)</f>
        <v>78449.202228408059</v>
      </c>
      <c r="ED35" s="30">
        <f t="shared" ref="ED35" si="618">SUM(ED36:ED40)</f>
        <v>78449.202228408059</v>
      </c>
      <c r="EE35" s="30">
        <f t="shared" ref="EE35" si="619">SUM(EE36:EE40)</f>
        <v>78449.202228408059</v>
      </c>
      <c r="EF35" s="30">
        <f t="shared" ref="EF35" si="620">SUM(EF36:EF40)</f>
        <v>78449.202228408059</v>
      </c>
      <c r="EG35" s="30">
        <f t="shared" ref="EG35" si="621">SUM(EG36:EG40)</f>
        <v>78449.202228408059</v>
      </c>
      <c r="EH35" s="30">
        <f t="shared" ref="EH35" si="622">SUM(EH36:EH40)</f>
        <v>78449.202228408059</v>
      </c>
      <c r="EI35" s="30">
        <f t="shared" ref="EI35" si="623">SUM(EI36:EI40)</f>
        <v>78449.202228408059</v>
      </c>
      <c r="EJ35" s="30">
        <f t="shared" si="162"/>
        <v>941390.42674089677</v>
      </c>
    </row>
    <row r="36" spans="1:140">
      <c r="A36" s="8" t="s">
        <v>50</v>
      </c>
      <c r="B36" s="22">
        <v>10000</v>
      </c>
      <c r="C36" s="22">
        <f>B36</f>
        <v>10000</v>
      </c>
      <c r="D36" s="22">
        <f t="shared" ref="D36:M36" si="624">C36</f>
        <v>10000</v>
      </c>
      <c r="E36" s="22">
        <f t="shared" si="624"/>
        <v>10000</v>
      </c>
      <c r="F36" s="22">
        <f t="shared" si="624"/>
        <v>10000</v>
      </c>
      <c r="G36" s="22">
        <f t="shared" si="624"/>
        <v>10000</v>
      </c>
      <c r="H36" s="22">
        <f t="shared" si="624"/>
        <v>10000</v>
      </c>
      <c r="I36" s="22">
        <f t="shared" si="624"/>
        <v>10000</v>
      </c>
      <c r="J36" s="22">
        <f t="shared" si="624"/>
        <v>10000</v>
      </c>
      <c r="K36" s="22">
        <f t="shared" si="624"/>
        <v>10000</v>
      </c>
      <c r="L36" s="22">
        <f t="shared" si="624"/>
        <v>10000</v>
      </c>
      <c r="M36" s="22">
        <f t="shared" si="624"/>
        <v>10000</v>
      </c>
      <c r="N36" s="30">
        <f t="shared" si="144"/>
        <v>120000</v>
      </c>
      <c r="O36" s="38">
        <v>1</v>
      </c>
      <c r="P36" s="22">
        <f t="shared" ref="P36:P40" si="625">$O36*B36*(1+$P$4)</f>
        <v>10700</v>
      </c>
      <c r="Q36" s="22">
        <f t="shared" ref="Q36:Q40" si="626">$O36*C36*(1+$P$4)</f>
        <v>10700</v>
      </c>
      <c r="R36" s="22">
        <f t="shared" ref="R36:R40" si="627">$O36*D36*(1+$P$4)</f>
        <v>10700</v>
      </c>
      <c r="S36" s="22">
        <f t="shared" ref="S36:S40" si="628">$O36*E36*(1+$P$4)</f>
        <v>10700</v>
      </c>
      <c r="T36" s="22">
        <f t="shared" ref="T36:T40" si="629">$O36*F36*(1+$P$4)</f>
        <v>10700</v>
      </c>
      <c r="U36" s="22">
        <f t="shared" ref="U36:U40" si="630">$O36*G36*(1+$P$4)</f>
        <v>10700</v>
      </c>
      <c r="V36" s="22">
        <f t="shared" ref="V36:V40" si="631">$O36*H36*(1+$P$4)</f>
        <v>10700</v>
      </c>
      <c r="W36" s="22">
        <f t="shared" ref="W36:W40" si="632">$O36*I36*(1+$P$4)</f>
        <v>10700</v>
      </c>
      <c r="X36" s="22">
        <f t="shared" ref="X36:X40" si="633">$O36*J36*(1+$P$4)</f>
        <v>10700</v>
      </c>
      <c r="Y36" s="22">
        <f t="shared" ref="Y36:Y40" si="634">$O36*K36*(1+$P$4)</f>
        <v>10700</v>
      </c>
      <c r="Z36" s="22">
        <f t="shared" ref="Z36:Z40" si="635">$O36*L36*(1+$P$4)</f>
        <v>10700</v>
      </c>
      <c r="AA36" s="22">
        <f t="shared" ref="AA36:AA40" si="636">$O36*M36*(1+$P$4)</f>
        <v>10700</v>
      </c>
      <c r="AB36" s="30">
        <f t="shared" si="146"/>
        <v>128400</v>
      </c>
      <c r="AC36" s="38">
        <v>1</v>
      </c>
      <c r="AD36" s="22">
        <f t="shared" ref="AD36:AD40" si="637">$AC36*P36*(1+$AD$4)</f>
        <v>11342</v>
      </c>
      <c r="AE36" s="22">
        <f t="shared" ref="AE36:AE40" si="638">$AC36*Q36*(1+$AD$4)</f>
        <v>11342</v>
      </c>
      <c r="AF36" s="22">
        <f t="shared" ref="AF36:AF40" si="639">$AC36*R36*(1+$AD$4)</f>
        <v>11342</v>
      </c>
      <c r="AG36" s="22">
        <f t="shared" ref="AG36:AG40" si="640">$AC36*S36*(1+$AD$4)</f>
        <v>11342</v>
      </c>
      <c r="AH36" s="22">
        <f t="shared" ref="AH36:AH40" si="641">$AC36*T36*(1+$AD$4)</f>
        <v>11342</v>
      </c>
      <c r="AI36" s="22">
        <f t="shared" ref="AI36:AI40" si="642">$AC36*U36*(1+$AD$4)</f>
        <v>11342</v>
      </c>
      <c r="AJ36" s="22">
        <f t="shared" ref="AJ36:AJ40" si="643">$AC36*V36*(1+$AD$4)</f>
        <v>11342</v>
      </c>
      <c r="AK36" s="22">
        <f t="shared" ref="AK36:AK40" si="644">$AC36*W36*(1+$AD$4)</f>
        <v>11342</v>
      </c>
      <c r="AL36" s="22">
        <f t="shared" ref="AL36:AL40" si="645">$AC36*X36*(1+$AD$4)</f>
        <v>11342</v>
      </c>
      <c r="AM36" s="22">
        <f t="shared" ref="AM36:AM40" si="646">$AC36*Y36*(1+$AD$4)</f>
        <v>11342</v>
      </c>
      <c r="AN36" s="22">
        <f t="shared" ref="AN36:AN40" si="647">$AC36*Z36*(1+$AD$4)</f>
        <v>11342</v>
      </c>
      <c r="AO36" s="22">
        <f t="shared" ref="AO36:AO40" si="648">$AC36*AA36*(1+$AD$4)</f>
        <v>11342</v>
      </c>
      <c r="AP36" s="30">
        <f t="shared" si="148"/>
        <v>136104</v>
      </c>
      <c r="AQ36" s="38">
        <v>1</v>
      </c>
      <c r="AR36" s="22">
        <f t="shared" ref="AR36:AR40" si="649">$AQ36*AD36*(1+$AR$4)</f>
        <v>12022.52</v>
      </c>
      <c r="AS36" s="22">
        <f t="shared" ref="AS36:AS40" si="650">$AQ36*AE36*(1+$AR$4)</f>
        <v>12022.52</v>
      </c>
      <c r="AT36" s="22">
        <f t="shared" ref="AT36:AT40" si="651">$AQ36*AF36*(1+$AR$4)</f>
        <v>12022.52</v>
      </c>
      <c r="AU36" s="22">
        <f t="shared" ref="AU36:AU40" si="652">$AQ36*AG36*(1+$AR$4)</f>
        <v>12022.52</v>
      </c>
      <c r="AV36" s="22">
        <f t="shared" ref="AV36:AV40" si="653">$AQ36*AH36*(1+$AR$4)</f>
        <v>12022.52</v>
      </c>
      <c r="AW36" s="22">
        <f t="shared" ref="AW36:AW40" si="654">$AQ36*AI36*(1+$AR$4)</f>
        <v>12022.52</v>
      </c>
      <c r="AX36" s="22">
        <f t="shared" ref="AX36:AX40" si="655">$AQ36*AJ36*(1+$AR$4)</f>
        <v>12022.52</v>
      </c>
      <c r="AY36" s="22">
        <f t="shared" ref="AY36:AY40" si="656">$AQ36*AK36*(1+$AR$4)</f>
        <v>12022.52</v>
      </c>
      <c r="AZ36" s="22">
        <f t="shared" ref="AZ36:AZ40" si="657">$AQ36*AL36*(1+$AR$4)</f>
        <v>12022.52</v>
      </c>
      <c r="BA36" s="22">
        <f t="shared" ref="BA36:BA40" si="658">$AQ36*AM36*(1+$AR$4)</f>
        <v>12022.52</v>
      </c>
      <c r="BB36" s="22">
        <f t="shared" ref="BB36:BB40" si="659">$AQ36*AN36*(1+$AR$4)</f>
        <v>12022.52</v>
      </c>
      <c r="BC36" s="22">
        <f t="shared" ref="BC36:BC40" si="660">$AQ36*AO36*(1+$AR$4)</f>
        <v>12022.52</v>
      </c>
      <c r="BD36" s="30">
        <f t="shared" si="150"/>
        <v>144270.24000000002</v>
      </c>
      <c r="BE36" s="38">
        <v>1</v>
      </c>
      <c r="BF36" s="22">
        <f t="shared" ref="BF36:BF40" si="661">$BE36*AR36*(1+$BF$4)</f>
        <v>12743.871200000001</v>
      </c>
      <c r="BG36" s="22">
        <f t="shared" ref="BG36:BG40" si="662">$BE36*AS36*(1+$BF$4)</f>
        <v>12743.871200000001</v>
      </c>
      <c r="BH36" s="22">
        <f t="shared" ref="BH36:BH40" si="663">$BE36*AT36*(1+$BF$4)</f>
        <v>12743.871200000001</v>
      </c>
      <c r="BI36" s="22">
        <f t="shared" ref="BI36:BI40" si="664">$BE36*AU36*(1+$BF$4)</f>
        <v>12743.871200000001</v>
      </c>
      <c r="BJ36" s="22">
        <f t="shared" ref="BJ36:BJ40" si="665">$BE36*AV36*(1+$BF$4)</f>
        <v>12743.871200000001</v>
      </c>
      <c r="BK36" s="22">
        <f t="shared" ref="BK36:BK40" si="666">$BE36*AW36*(1+$BF$4)</f>
        <v>12743.871200000001</v>
      </c>
      <c r="BL36" s="22">
        <f t="shared" ref="BL36:BL40" si="667">$BE36*AX36*(1+$BF$4)</f>
        <v>12743.871200000001</v>
      </c>
      <c r="BM36" s="22">
        <f t="shared" ref="BM36:BM40" si="668">$BE36*AY36*(1+$BF$4)</f>
        <v>12743.871200000001</v>
      </c>
      <c r="BN36" s="22">
        <f t="shared" ref="BN36:BN40" si="669">$BE36*AZ36*(1+$BF$4)</f>
        <v>12743.871200000001</v>
      </c>
      <c r="BO36" s="22">
        <f t="shared" ref="BO36:BO40" si="670">$BE36*BA36*(1+$BF$4)</f>
        <v>12743.871200000001</v>
      </c>
      <c r="BP36" s="22">
        <f t="shared" ref="BP36:BP40" si="671">$BE36*BB36*(1+$BF$4)</f>
        <v>12743.871200000001</v>
      </c>
      <c r="BQ36" s="22">
        <f t="shared" ref="BQ36:BQ40" si="672">$BE36*BC36*(1+$BF$4)</f>
        <v>12743.871200000001</v>
      </c>
      <c r="BR36" s="30">
        <f t="shared" si="152"/>
        <v>152926.45439999999</v>
      </c>
      <c r="BS36" s="38">
        <v>1</v>
      </c>
      <c r="BT36" s="22">
        <f t="shared" ref="BT36:BT40" si="673">$BS36*BF36*(1+$BT$4)</f>
        <v>13508.503472000002</v>
      </c>
      <c r="BU36" s="22">
        <f t="shared" ref="BU36:BU40" si="674">$BS36*BG36*(1+$BT$4)</f>
        <v>13508.503472000002</v>
      </c>
      <c r="BV36" s="22">
        <f t="shared" ref="BV36:BV40" si="675">$BS36*BH36*(1+$BT$4)</f>
        <v>13508.503472000002</v>
      </c>
      <c r="BW36" s="22">
        <f t="shared" ref="BW36:BW40" si="676">$BS36*BI36*(1+$BT$4)</f>
        <v>13508.503472000002</v>
      </c>
      <c r="BX36" s="22">
        <f t="shared" ref="BX36:BX40" si="677">$BS36*BJ36*(1+$BT$4)</f>
        <v>13508.503472000002</v>
      </c>
      <c r="BY36" s="22">
        <f t="shared" ref="BY36:BY40" si="678">$BS36*BK36*(1+$BT$4)</f>
        <v>13508.503472000002</v>
      </c>
      <c r="BZ36" s="22">
        <f t="shared" ref="BZ36:BZ40" si="679">$BS36*BL36*(1+$BT$4)</f>
        <v>13508.503472000002</v>
      </c>
      <c r="CA36" s="22">
        <f t="shared" ref="CA36:CA40" si="680">$BS36*BM36*(1+$BT$4)</f>
        <v>13508.503472000002</v>
      </c>
      <c r="CB36" s="22">
        <f t="shared" ref="CB36:CB40" si="681">$BS36*BN36*(1+$BT$4)</f>
        <v>13508.503472000002</v>
      </c>
      <c r="CC36" s="22">
        <f t="shared" ref="CC36:CC40" si="682">$BS36*BO36*(1+$BT$4)</f>
        <v>13508.503472000002</v>
      </c>
      <c r="CD36" s="22">
        <f t="shared" ref="CD36:CD40" si="683">$BS36*BP36*(1+$BT$4)</f>
        <v>13508.503472000002</v>
      </c>
      <c r="CE36" s="22">
        <f t="shared" ref="CE36:CE40" si="684">$BS36*BQ36*(1+$BT$4)</f>
        <v>13508.503472000002</v>
      </c>
      <c r="CF36" s="30">
        <f t="shared" si="154"/>
        <v>162102.04166400002</v>
      </c>
      <c r="CG36" s="38">
        <v>1</v>
      </c>
      <c r="CH36" s="22">
        <f t="shared" ref="CH36:CH40" si="685">$CG36*BT36*(1+$CH$4)</f>
        <v>14319.013680320002</v>
      </c>
      <c r="CI36" s="22">
        <f t="shared" ref="CI36:CI40" si="686">$CG36*BU36*(1+$CH$4)</f>
        <v>14319.013680320002</v>
      </c>
      <c r="CJ36" s="22">
        <f t="shared" ref="CJ36:CJ40" si="687">$CG36*BV36*(1+$CH$4)</f>
        <v>14319.013680320002</v>
      </c>
      <c r="CK36" s="22">
        <f t="shared" ref="CK36:CK40" si="688">$CG36*BW36*(1+$CH$4)</f>
        <v>14319.013680320002</v>
      </c>
      <c r="CL36" s="22">
        <f t="shared" ref="CL36:CL40" si="689">$CG36*BX36*(1+$CH$4)</f>
        <v>14319.013680320002</v>
      </c>
      <c r="CM36" s="22">
        <f t="shared" ref="CM36:CM40" si="690">$CG36*BY36*(1+$CH$4)</f>
        <v>14319.013680320002</v>
      </c>
      <c r="CN36" s="22">
        <f t="shared" ref="CN36:CN40" si="691">$CG36*BZ36*(1+$CH$4)</f>
        <v>14319.013680320002</v>
      </c>
      <c r="CO36" s="22">
        <f t="shared" ref="CO36:CO40" si="692">$CG36*CA36*(1+$CH$4)</f>
        <v>14319.013680320002</v>
      </c>
      <c r="CP36" s="22">
        <f t="shared" ref="CP36:CP40" si="693">$CG36*CB36*(1+$CH$4)</f>
        <v>14319.013680320002</v>
      </c>
      <c r="CQ36" s="22">
        <f t="shared" ref="CQ36:CQ40" si="694">$CG36*CC36*(1+$CH$4)</f>
        <v>14319.013680320002</v>
      </c>
      <c r="CR36" s="22">
        <f t="shared" ref="CR36:CR40" si="695">$CG36*CD36*(1+$CH$4)</f>
        <v>14319.013680320002</v>
      </c>
      <c r="CS36" s="22">
        <f t="shared" ref="CS36:CS40" si="696">$CG36*CE36*(1+$CH$4)</f>
        <v>14319.013680320002</v>
      </c>
      <c r="CT36" s="30">
        <f t="shared" si="156"/>
        <v>171828.16416384003</v>
      </c>
      <c r="CU36" s="38">
        <v>1</v>
      </c>
      <c r="CV36" s="22">
        <f t="shared" ref="CV36:CV40" si="697">$CU36*CH36*(1+$CV$4)</f>
        <v>15178.154501139203</v>
      </c>
      <c r="CW36" s="22">
        <f t="shared" ref="CW36:CW40" si="698">$CU36*CI36*(1+$CV$4)</f>
        <v>15178.154501139203</v>
      </c>
      <c r="CX36" s="22">
        <f t="shared" ref="CX36:CX40" si="699">$CU36*CJ36*(1+$CV$4)</f>
        <v>15178.154501139203</v>
      </c>
      <c r="CY36" s="22">
        <f t="shared" ref="CY36:CY40" si="700">$CU36*CK36*(1+$CV$4)</f>
        <v>15178.154501139203</v>
      </c>
      <c r="CZ36" s="22">
        <f t="shared" ref="CZ36:CZ40" si="701">$CU36*CL36*(1+$CV$4)</f>
        <v>15178.154501139203</v>
      </c>
      <c r="DA36" s="22">
        <f t="shared" ref="DA36:DA40" si="702">$CU36*CM36*(1+$CV$4)</f>
        <v>15178.154501139203</v>
      </c>
      <c r="DB36" s="22">
        <f t="shared" ref="DB36:DB40" si="703">$CU36*CN36*(1+$CV$4)</f>
        <v>15178.154501139203</v>
      </c>
      <c r="DC36" s="22">
        <f t="shared" ref="DC36:DC40" si="704">$CU36*CO36*(1+$CV$4)</f>
        <v>15178.154501139203</v>
      </c>
      <c r="DD36" s="22">
        <f t="shared" ref="DD36:DD40" si="705">$CU36*CP36*(1+$CV$4)</f>
        <v>15178.154501139203</v>
      </c>
      <c r="DE36" s="22">
        <f t="shared" ref="DE36:DE40" si="706">$CU36*CQ36*(1+$CV$4)</f>
        <v>15178.154501139203</v>
      </c>
      <c r="DF36" s="22">
        <f t="shared" ref="DF36:DF40" si="707">$CU36*CR36*(1+$CV$4)</f>
        <v>15178.154501139203</v>
      </c>
      <c r="DG36" s="22">
        <f t="shared" ref="DG36:DG40" si="708">$CU36*CS36*(1+$CV$4)</f>
        <v>15178.154501139203</v>
      </c>
      <c r="DH36" s="30">
        <f t="shared" si="158"/>
        <v>182137.85401367047</v>
      </c>
      <c r="DI36" s="38">
        <v>1</v>
      </c>
      <c r="DJ36" s="22">
        <f t="shared" ref="DJ36:DJ40" si="709">$DI36*CV36*(1+$DJ$4)</f>
        <v>16088.843771207556</v>
      </c>
      <c r="DK36" s="22">
        <f t="shared" ref="DK36:DK40" si="710">$DI36*CW36*(1+$DJ$4)</f>
        <v>16088.843771207556</v>
      </c>
      <c r="DL36" s="22">
        <f t="shared" ref="DL36:DL40" si="711">$DI36*CX36*(1+$DJ$4)</f>
        <v>16088.843771207556</v>
      </c>
      <c r="DM36" s="22">
        <f t="shared" ref="DM36:DM40" si="712">$DI36*CY36*(1+$DJ$4)</f>
        <v>16088.843771207556</v>
      </c>
      <c r="DN36" s="22">
        <f t="shared" ref="DN36:DN40" si="713">$DI36*CZ36*(1+$DJ$4)</f>
        <v>16088.843771207556</v>
      </c>
      <c r="DO36" s="22">
        <f t="shared" ref="DO36:DO40" si="714">$DI36*DA36*(1+$DJ$4)</f>
        <v>16088.843771207556</v>
      </c>
      <c r="DP36" s="22">
        <f t="shared" ref="DP36:DP40" si="715">$DI36*DB36*(1+$DJ$4)</f>
        <v>16088.843771207556</v>
      </c>
      <c r="DQ36" s="22">
        <f t="shared" ref="DQ36:DQ40" si="716">$DI36*DC36*(1+$DJ$4)</f>
        <v>16088.843771207556</v>
      </c>
      <c r="DR36" s="22">
        <f t="shared" ref="DR36:DR40" si="717">$DI36*DD36*(1+$DJ$4)</f>
        <v>16088.843771207556</v>
      </c>
      <c r="DS36" s="22">
        <f t="shared" ref="DS36:DS40" si="718">$DI36*DE36*(1+$DJ$4)</f>
        <v>16088.843771207556</v>
      </c>
      <c r="DT36" s="22">
        <f t="shared" ref="DT36:DT40" si="719">$DI36*DF36*(1+$DJ$4)</f>
        <v>16088.843771207556</v>
      </c>
      <c r="DU36" s="22">
        <f t="shared" ref="DU36:DU40" si="720">$DI36*DG36*(1+$DJ$4)</f>
        <v>16088.843771207556</v>
      </c>
      <c r="DV36" s="30">
        <f t="shared" si="160"/>
        <v>193066.12525449067</v>
      </c>
      <c r="DW36" s="38">
        <v>1</v>
      </c>
      <c r="DX36" s="22">
        <f t="shared" ref="DX36:DX40" si="721">$DW36*DJ36*(1+$DX$4)</f>
        <v>17054.174397480008</v>
      </c>
      <c r="DY36" s="22">
        <f t="shared" ref="DY36:DY40" si="722">$DW36*DK36*(1+$DX$4)</f>
        <v>17054.174397480008</v>
      </c>
      <c r="DZ36" s="22">
        <f t="shared" ref="DZ36:DZ40" si="723">$DW36*DL36*(1+$DX$4)</f>
        <v>17054.174397480008</v>
      </c>
      <c r="EA36" s="22">
        <f t="shared" ref="EA36:EA40" si="724">$DW36*DM36*(1+$DX$4)</f>
        <v>17054.174397480008</v>
      </c>
      <c r="EB36" s="22">
        <f t="shared" ref="EB36:EB40" si="725">$DW36*DN36*(1+$DX$4)</f>
        <v>17054.174397480008</v>
      </c>
      <c r="EC36" s="22">
        <f t="shared" ref="EC36:EC40" si="726">$DW36*DO36*(1+$DX$4)</f>
        <v>17054.174397480008</v>
      </c>
      <c r="ED36" s="22">
        <f t="shared" ref="ED36:ED40" si="727">$DW36*DP36*(1+$DX$4)</f>
        <v>17054.174397480008</v>
      </c>
      <c r="EE36" s="22">
        <f t="shared" ref="EE36:EE40" si="728">$DW36*DQ36*(1+$DX$4)</f>
        <v>17054.174397480008</v>
      </c>
      <c r="EF36" s="22">
        <f t="shared" ref="EF36:EF40" si="729">$DW36*DR36*(1+$DX$4)</f>
        <v>17054.174397480008</v>
      </c>
      <c r="EG36" s="22">
        <f t="shared" ref="EG36:EG40" si="730">$DW36*DS36*(1+$DX$4)</f>
        <v>17054.174397480008</v>
      </c>
      <c r="EH36" s="22">
        <f t="shared" ref="EH36:EH40" si="731">$DW36*DT36*(1+$DX$4)</f>
        <v>17054.174397480008</v>
      </c>
      <c r="EI36" s="22">
        <f t="shared" ref="EI36:EI40" si="732">$DW36*DU36*(1+$DX$4)</f>
        <v>17054.174397480008</v>
      </c>
      <c r="EJ36" s="30">
        <f t="shared" si="162"/>
        <v>204650.09276976009</v>
      </c>
    </row>
    <row r="37" spans="1:140">
      <c r="A37" s="8" t="s">
        <v>65</v>
      </c>
      <c r="B37" s="22">
        <v>10000</v>
      </c>
      <c r="C37" s="22">
        <f t="shared" ref="C37:M40" si="733">B37</f>
        <v>10000</v>
      </c>
      <c r="D37" s="22">
        <f t="shared" si="733"/>
        <v>10000</v>
      </c>
      <c r="E37" s="22">
        <f t="shared" si="733"/>
        <v>10000</v>
      </c>
      <c r="F37" s="22">
        <f t="shared" si="733"/>
        <v>10000</v>
      </c>
      <c r="G37" s="22">
        <f t="shared" si="733"/>
        <v>10000</v>
      </c>
      <c r="H37" s="22">
        <f t="shared" si="733"/>
        <v>10000</v>
      </c>
      <c r="I37" s="22">
        <f t="shared" si="733"/>
        <v>10000</v>
      </c>
      <c r="J37" s="22">
        <f t="shared" si="733"/>
        <v>10000</v>
      </c>
      <c r="K37" s="22">
        <f t="shared" si="733"/>
        <v>10000</v>
      </c>
      <c r="L37" s="22">
        <f t="shared" si="733"/>
        <v>10000</v>
      </c>
      <c r="M37" s="22">
        <f t="shared" si="733"/>
        <v>10000</v>
      </c>
      <c r="N37" s="30">
        <f t="shared" si="144"/>
        <v>120000</v>
      </c>
      <c r="O37" s="38">
        <v>1</v>
      </c>
      <c r="P37" s="22">
        <f t="shared" si="625"/>
        <v>10700</v>
      </c>
      <c r="Q37" s="22">
        <f t="shared" si="626"/>
        <v>10700</v>
      </c>
      <c r="R37" s="22">
        <f t="shared" si="627"/>
        <v>10700</v>
      </c>
      <c r="S37" s="22">
        <f t="shared" si="628"/>
        <v>10700</v>
      </c>
      <c r="T37" s="22">
        <f t="shared" si="629"/>
        <v>10700</v>
      </c>
      <c r="U37" s="22">
        <f t="shared" si="630"/>
        <v>10700</v>
      </c>
      <c r="V37" s="22">
        <f t="shared" si="631"/>
        <v>10700</v>
      </c>
      <c r="W37" s="22">
        <f t="shared" si="632"/>
        <v>10700</v>
      </c>
      <c r="X37" s="22">
        <f t="shared" si="633"/>
        <v>10700</v>
      </c>
      <c r="Y37" s="22">
        <f t="shared" si="634"/>
        <v>10700</v>
      </c>
      <c r="Z37" s="22">
        <f t="shared" si="635"/>
        <v>10700</v>
      </c>
      <c r="AA37" s="22">
        <f t="shared" si="636"/>
        <v>10700</v>
      </c>
      <c r="AB37" s="30">
        <f t="shared" si="146"/>
        <v>128400</v>
      </c>
      <c r="AC37" s="38">
        <v>1</v>
      </c>
      <c r="AD37" s="22">
        <f t="shared" si="637"/>
        <v>11342</v>
      </c>
      <c r="AE37" s="22">
        <f t="shared" si="638"/>
        <v>11342</v>
      </c>
      <c r="AF37" s="22">
        <f t="shared" si="639"/>
        <v>11342</v>
      </c>
      <c r="AG37" s="22">
        <f t="shared" si="640"/>
        <v>11342</v>
      </c>
      <c r="AH37" s="22">
        <f t="shared" si="641"/>
        <v>11342</v>
      </c>
      <c r="AI37" s="22">
        <f t="shared" si="642"/>
        <v>11342</v>
      </c>
      <c r="AJ37" s="22">
        <f t="shared" si="643"/>
        <v>11342</v>
      </c>
      <c r="AK37" s="22">
        <f t="shared" si="644"/>
        <v>11342</v>
      </c>
      <c r="AL37" s="22">
        <f t="shared" si="645"/>
        <v>11342</v>
      </c>
      <c r="AM37" s="22">
        <f t="shared" si="646"/>
        <v>11342</v>
      </c>
      <c r="AN37" s="22">
        <f t="shared" si="647"/>
        <v>11342</v>
      </c>
      <c r="AO37" s="22">
        <f t="shared" si="648"/>
        <v>11342</v>
      </c>
      <c r="AP37" s="30">
        <f t="shared" si="148"/>
        <v>136104</v>
      </c>
      <c r="AQ37" s="38">
        <v>1</v>
      </c>
      <c r="AR37" s="22">
        <f t="shared" si="649"/>
        <v>12022.52</v>
      </c>
      <c r="AS37" s="22">
        <f t="shared" si="650"/>
        <v>12022.52</v>
      </c>
      <c r="AT37" s="22">
        <f t="shared" si="651"/>
        <v>12022.52</v>
      </c>
      <c r="AU37" s="22">
        <f t="shared" si="652"/>
        <v>12022.52</v>
      </c>
      <c r="AV37" s="22">
        <f t="shared" si="653"/>
        <v>12022.52</v>
      </c>
      <c r="AW37" s="22">
        <f t="shared" si="654"/>
        <v>12022.52</v>
      </c>
      <c r="AX37" s="22">
        <f t="shared" si="655"/>
        <v>12022.52</v>
      </c>
      <c r="AY37" s="22">
        <f t="shared" si="656"/>
        <v>12022.52</v>
      </c>
      <c r="AZ37" s="22">
        <f t="shared" si="657"/>
        <v>12022.52</v>
      </c>
      <c r="BA37" s="22">
        <f t="shared" si="658"/>
        <v>12022.52</v>
      </c>
      <c r="BB37" s="22">
        <f t="shared" si="659"/>
        <v>12022.52</v>
      </c>
      <c r="BC37" s="22">
        <f t="shared" si="660"/>
        <v>12022.52</v>
      </c>
      <c r="BD37" s="30">
        <f t="shared" si="150"/>
        <v>144270.24000000002</v>
      </c>
      <c r="BE37" s="38">
        <v>1</v>
      </c>
      <c r="BF37" s="22">
        <f t="shared" si="661"/>
        <v>12743.871200000001</v>
      </c>
      <c r="BG37" s="22">
        <f t="shared" si="662"/>
        <v>12743.871200000001</v>
      </c>
      <c r="BH37" s="22">
        <f t="shared" si="663"/>
        <v>12743.871200000001</v>
      </c>
      <c r="BI37" s="22">
        <f t="shared" si="664"/>
        <v>12743.871200000001</v>
      </c>
      <c r="BJ37" s="22">
        <f t="shared" si="665"/>
        <v>12743.871200000001</v>
      </c>
      <c r="BK37" s="22">
        <f t="shared" si="666"/>
        <v>12743.871200000001</v>
      </c>
      <c r="BL37" s="22">
        <f t="shared" si="667"/>
        <v>12743.871200000001</v>
      </c>
      <c r="BM37" s="22">
        <f t="shared" si="668"/>
        <v>12743.871200000001</v>
      </c>
      <c r="BN37" s="22">
        <f t="shared" si="669"/>
        <v>12743.871200000001</v>
      </c>
      <c r="BO37" s="22">
        <f t="shared" si="670"/>
        <v>12743.871200000001</v>
      </c>
      <c r="BP37" s="22">
        <f t="shared" si="671"/>
        <v>12743.871200000001</v>
      </c>
      <c r="BQ37" s="22">
        <f t="shared" si="672"/>
        <v>12743.871200000001</v>
      </c>
      <c r="BR37" s="30">
        <f t="shared" si="152"/>
        <v>152926.45439999999</v>
      </c>
      <c r="BS37" s="38">
        <v>1</v>
      </c>
      <c r="BT37" s="22">
        <f t="shared" si="673"/>
        <v>13508.503472000002</v>
      </c>
      <c r="BU37" s="22">
        <f t="shared" si="674"/>
        <v>13508.503472000002</v>
      </c>
      <c r="BV37" s="22">
        <f t="shared" si="675"/>
        <v>13508.503472000002</v>
      </c>
      <c r="BW37" s="22">
        <f t="shared" si="676"/>
        <v>13508.503472000002</v>
      </c>
      <c r="BX37" s="22">
        <f t="shared" si="677"/>
        <v>13508.503472000002</v>
      </c>
      <c r="BY37" s="22">
        <f t="shared" si="678"/>
        <v>13508.503472000002</v>
      </c>
      <c r="BZ37" s="22">
        <f t="shared" si="679"/>
        <v>13508.503472000002</v>
      </c>
      <c r="CA37" s="22">
        <f t="shared" si="680"/>
        <v>13508.503472000002</v>
      </c>
      <c r="CB37" s="22">
        <f t="shared" si="681"/>
        <v>13508.503472000002</v>
      </c>
      <c r="CC37" s="22">
        <f t="shared" si="682"/>
        <v>13508.503472000002</v>
      </c>
      <c r="CD37" s="22">
        <f t="shared" si="683"/>
        <v>13508.503472000002</v>
      </c>
      <c r="CE37" s="22">
        <f t="shared" si="684"/>
        <v>13508.503472000002</v>
      </c>
      <c r="CF37" s="30">
        <f t="shared" si="154"/>
        <v>162102.04166400002</v>
      </c>
      <c r="CG37" s="38">
        <v>1</v>
      </c>
      <c r="CH37" s="22">
        <f t="shared" si="685"/>
        <v>14319.013680320002</v>
      </c>
      <c r="CI37" s="22">
        <f t="shared" si="686"/>
        <v>14319.013680320002</v>
      </c>
      <c r="CJ37" s="22">
        <f t="shared" si="687"/>
        <v>14319.013680320002</v>
      </c>
      <c r="CK37" s="22">
        <f t="shared" si="688"/>
        <v>14319.013680320002</v>
      </c>
      <c r="CL37" s="22">
        <f t="shared" si="689"/>
        <v>14319.013680320002</v>
      </c>
      <c r="CM37" s="22">
        <f t="shared" si="690"/>
        <v>14319.013680320002</v>
      </c>
      <c r="CN37" s="22">
        <f t="shared" si="691"/>
        <v>14319.013680320002</v>
      </c>
      <c r="CO37" s="22">
        <f t="shared" si="692"/>
        <v>14319.013680320002</v>
      </c>
      <c r="CP37" s="22">
        <f t="shared" si="693"/>
        <v>14319.013680320002</v>
      </c>
      <c r="CQ37" s="22">
        <f t="shared" si="694"/>
        <v>14319.013680320002</v>
      </c>
      <c r="CR37" s="22">
        <f t="shared" si="695"/>
        <v>14319.013680320002</v>
      </c>
      <c r="CS37" s="22">
        <f t="shared" si="696"/>
        <v>14319.013680320002</v>
      </c>
      <c r="CT37" s="30">
        <f t="shared" si="156"/>
        <v>171828.16416384003</v>
      </c>
      <c r="CU37" s="38">
        <v>1</v>
      </c>
      <c r="CV37" s="22">
        <f t="shared" si="697"/>
        <v>15178.154501139203</v>
      </c>
      <c r="CW37" s="22">
        <f t="shared" si="698"/>
        <v>15178.154501139203</v>
      </c>
      <c r="CX37" s="22">
        <f t="shared" si="699"/>
        <v>15178.154501139203</v>
      </c>
      <c r="CY37" s="22">
        <f t="shared" si="700"/>
        <v>15178.154501139203</v>
      </c>
      <c r="CZ37" s="22">
        <f t="shared" si="701"/>
        <v>15178.154501139203</v>
      </c>
      <c r="DA37" s="22">
        <f t="shared" si="702"/>
        <v>15178.154501139203</v>
      </c>
      <c r="DB37" s="22">
        <f t="shared" si="703"/>
        <v>15178.154501139203</v>
      </c>
      <c r="DC37" s="22">
        <f t="shared" si="704"/>
        <v>15178.154501139203</v>
      </c>
      <c r="DD37" s="22">
        <f t="shared" si="705"/>
        <v>15178.154501139203</v>
      </c>
      <c r="DE37" s="22">
        <f t="shared" si="706"/>
        <v>15178.154501139203</v>
      </c>
      <c r="DF37" s="22">
        <f t="shared" si="707"/>
        <v>15178.154501139203</v>
      </c>
      <c r="DG37" s="22">
        <f t="shared" si="708"/>
        <v>15178.154501139203</v>
      </c>
      <c r="DH37" s="30">
        <f t="shared" si="158"/>
        <v>182137.85401367047</v>
      </c>
      <c r="DI37" s="38">
        <v>1</v>
      </c>
      <c r="DJ37" s="22">
        <f t="shared" si="709"/>
        <v>16088.843771207556</v>
      </c>
      <c r="DK37" s="22">
        <f t="shared" si="710"/>
        <v>16088.843771207556</v>
      </c>
      <c r="DL37" s="22">
        <f t="shared" si="711"/>
        <v>16088.843771207556</v>
      </c>
      <c r="DM37" s="22">
        <f t="shared" si="712"/>
        <v>16088.843771207556</v>
      </c>
      <c r="DN37" s="22">
        <f t="shared" si="713"/>
        <v>16088.843771207556</v>
      </c>
      <c r="DO37" s="22">
        <f t="shared" si="714"/>
        <v>16088.843771207556</v>
      </c>
      <c r="DP37" s="22">
        <f t="shared" si="715"/>
        <v>16088.843771207556</v>
      </c>
      <c r="DQ37" s="22">
        <f t="shared" si="716"/>
        <v>16088.843771207556</v>
      </c>
      <c r="DR37" s="22">
        <f t="shared" si="717"/>
        <v>16088.843771207556</v>
      </c>
      <c r="DS37" s="22">
        <f t="shared" si="718"/>
        <v>16088.843771207556</v>
      </c>
      <c r="DT37" s="22">
        <f t="shared" si="719"/>
        <v>16088.843771207556</v>
      </c>
      <c r="DU37" s="22">
        <f t="shared" si="720"/>
        <v>16088.843771207556</v>
      </c>
      <c r="DV37" s="30">
        <f t="shared" si="160"/>
        <v>193066.12525449067</v>
      </c>
      <c r="DW37" s="38">
        <v>1</v>
      </c>
      <c r="DX37" s="22">
        <f t="shared" si="721"/>
        <v>17054.174397480008</v>
      </c>
      <c r="DY37" s="22">
        <f t="shared" si="722"/>
        <v>17054.174397480008</v>
      </c>
      <c r="DZ37" s="22">
        <f t="shared" si="723"/>
        <v>17054.174397480008</v>
      </c>
      <c r="EA37" s="22">
        <f t="shared" si="724"/>
        <v>17054.174397480008</v>
      </c>
      <c r="EB37" s="22">
        <f t="shared" si="725"/>
        <v>17054.174397480008</v>
      </c>
      <c r="EC37" s="22">
        <f t="shared" si="726"/>
        <v>17054.174397480008</v>
      </c>
      <c r="ED37" s="22">
        <f t="shared" si="727"/>
        <v>17054.174397480008</v>
      </c>
      <c r="EE37" s="22">
        <f t="shared" si="728"/>
        <v>17054.174397480008</v>
      </c>
      <c r="EF37" s="22">
        <f t="shared" si="729"/>
        <v>17054.174397480008</v>
      </c>
      <c r="EG37" s="22">
        <f t="shared" si="730"/>
        <v>17054.174397480008</v>
      </c>
      <c r="EH37" s="22">
        <f t="shared" si="731"/>
        <v>17054.174397480008</v>
      </c>
      <c r="EI37" s="22">
        <f t="shared" si="732"/>
        <v>17054.174397480008</v>
      </c>
      <c r="EJ37" s="30">
        <f t="shared" si="162"/>
        <v>204650.09276976009</v>
      </c>
    </row>
    <row r="38" spans="1:140">
      <c r="A38" s="8" t="s">
        <v>79</v>
      </c>
      <c r="B38" s="22">
        <v>12000</v>
      </c>
      <c r="C38" s="22">
        <f t="shared" si="733"/>
        <v>12000</v>
      </c>
      <c r="D38" s="22">
        <f t="shared" si="733"/>
        <v>12000</v>
      </c>
      <c r="E38" s="22">
        <f t="shared" si="733"/>
        <v>12000</v>
      </c>
      <c r="F38" s="22">
        <f t="shared" si="733"/>
        <v>12000</v>
      </c>
      <c r="G38" s="22">
        <f t="shared" si="733"/>
        <v>12000</v>
      </c>
      <c r="H38" s="22">
        <f t="shared" si="733"/>
        <v>12000</v>
      </c>
      <c r="I38" s="22">
        <f t="shared" si="733"/>
        <v>12000</v>
      </c>
      <c r="J38" s="22">
        <f t="shared" si="733"/>
        <v>12000</v>
      </c>
      <c r="K38" s="22">
        <f t="shared" si="733"/>
        <v>12000</v>
      </c>
      <c r="L38" s="22">
        <f t="shared" si="733"/>
        <v>12000</v>
      </c>
      <c r="M38" s="22">
        <f t="shared" si="733"/>
        <v>12000</v>
      </c>
      <c r="N38" s="30">
        <f t="shared" si="144"/>
        <v>144000</v>
      </c>
      <c r="O38" s="38">
        <v>1</v>
      </c>
      <c r="P38" s="22">
        <f t="shared" si="625"/>
        <v>12840</v>
      </c>
      <c r="Q38" s="22">
        <f t="shared" si="626"/>
        <v>12840</v>
      </c>
      <c r="R38" s="22">
        <f t="shared" si="627"/>
        <v>12840</v>
      </c>
      <c r="S38" s="22">
        <f t="shared" si="628"/>
        <v>12840</v>
      </c>
      <c r="T38" s="22">
        <f t="shared" si="629"/>
        <v>12840</v>
      </c>
      <c r="U38" s="22">
        <f t="shared" si="630"/>
        <v>12840</v>
      </c>
      <c r="V38" s="22">
        <f t="shared" si="631"/>
        <v>12840</v>
      </c>
      <c r="W38" s="22">
        <f t="shared" si="632"/>
        <v>12840</v>
      </c>
      <c r="X38" s="22">
        <f t="shared" si="633"/>
        <v>12840</v>
      </c>
      <c r="Y38" s="22">
        <f t="shared" si="634"/>
        <v>12840</v>
      </c>
      <c r="Z38" s="22">
        <f t="shared" si="635"/>
        <v>12840</v>
      </c>
      <c r="AA38" s="22">
        <f t="shared" si="636"/>
        <v>12840</v>
      </c>
      <c r="AB38" s="30">
        <f t="shared" si="146"/>
        <v>154080</v>
      </c>
      <c r="AC38" s="38">
        <v>1</v>
      </c>
      <c r="AD38" s="22">
        <f t="shared" si="637"/>
        <v>13610.400000000001</v>
      </c>
      <c r="AE38" s="22">
        <f t="shared" si="638"/>
        <v>13610.400000000001</v>
      </c>
      <c r="AF38" s="22">
        <f t="shared" si="639"/>
        <v>13610.400000000001</v>
      </c>
      <c r="AG38" s="22">
        <f t="shared" si="640"/>
        <v>13610.400000000001</v>
      </c>
      <c r="AH38" s="22">
        <f t="shared" si="641"/>
        <v>13610.400000000001</v>
      </c>
      <c r="AI38" s="22">
        <f t="shared" si="642"/>
        <v>13610.400000000001</v>
      </c>
      <c r="AJ38" s="22">
        <f t="shared" si="643"/>
        <v>13610.400000000001</v>
      </c>
      <c r="AK38" s="22">
        <f t="shared" si="644"/>
        <v>13610.400000000001</v>
      </c>
      <c r="AL38" s="22">
        <f t="shared" si="645"/>
        <v>13610.400000000001</v>
      </c>
      <c r="AM38" s="22">
        <f t="shared" si="646"/>
        <v>13610.400000000001</v>
      </c>
      <c r="AN38" s="22">
        <f t="shared" si="647"/>
        <v>13610.400000000001</v>
      </c>
      <c r="AO38" s="22">
        <f t="shared" si="648"/>
        <v>13610.400000000001</v>
      </c>
      <c r="AP38" s="30">
        <f t="shared" si="148"/>
        <v>163324.79999999996</v>
      </c>
      <c r="AQ38" s="38">
        <v>1</v>
      </c>
      <c r="AR38" s="22">
        <f t="shared" si="649"/>
        <v>14427.024000000003</v>
      </c>
      <c r="AS38" s="22">
        <f t="shared" si="650"/>
        <v>14427.024000000003</v>
      </c>
      <c r="AT38" s="22">
        <f t="shared" si="651"/>
        <v>14427.024000000003</v>
      </c>
      <c r="AU38" s="22">
        <f t="shared" si="652"/>
        <v>14427.024000000003</v>
      </c>
      <c r="AV38" s="22">
        <f t="shared" si="653"/>
        <v>14427.024000000003</v>
      </c>
      <c r="AW38" s="22">
        <f t="shared" si="654"/>
        <v>14427.024000000003</v>
      </c>
      <c r="AX38" s="22">
        <f t="shared" si="655"/>
        <v>14427.024000000003</v>
      </c>
      <c r="AY38" s="22">
        <f t="shared" si="656"/>
        <v>14427.024000000003</v>
      </c>
      <c r="AZ38" s="22">
        <f t="shared" si="657"/>
        <v>14427.024000000003</v>
      </c>
      <c r="BA38" s="22">
        <f t="shared" si="658"/>
        <v>14427.024000000003</v>
      </c>
      <c r="BB38" s="22">
        <f t="shared" si="659"/>
        <v>14427.024000000003</v>
      </c>
      <c r="BC38" s="22">
        <f t="shared" si="660"/>
        <v>14427.024000000003</v>
      </c>
      <c r="BD38" s="30">
        <f t="shared" si="150"/>
        <v>173124.28800000003</v>
      </c>
      <c r="BE38" s="38">
        <v>1</v>
      </c>
      <c r="BF38" s="22">
        <f t="shared" si="661"/>
        <v>15292.645440000004</v>
      </c>
      <c r="BG38" s="22">
        <f t="shared" si="662"/>
        <v>15292.645440000004</v>
      </c>
      <c r="BH38" s="22">
        <f t="shared" si="663"/>
        <v>15292.645440000004</v>
      </c>
      <c r="BI38" s="22">
        <f t="shared" si="664"/>
        <v>15292.645440000004</v>
      </c>
      <c r="BJ38" s="22">
        <f t="shared" si="665"/>
        <v>15292.645440000004</v>
      </c>
      <c r="BK38" s="22">
        <f t="shared" si="666"/>
        <v>15292.645440000004</v>
      </c>
      <c r="BL38" s="22">
        <f t="shared" si="667"/>
        <v>15292.645440000004</v>
      </c>
      <c r="BM38" s="22">
        <f t="shared" si="668"/>
        <v>15292.645440000004</v>
      </c>
      <c r="BN38" s="22">
        <f t="shared" si="669"/>
        <v>15292.645440000004</v>
      </c>
      <c r="BO38" s="22">
        <f t="shared" si="670"/>
        <v>15292.645440000004</v>
      </c>
      <c r="BP38" s="22">
        <f t="shared" si="671"/>
        <v>15292.645440000004</v>
      </c>
      <c r="BQ38" s="22">
        <f t="shared" si="672"/>
        <v>15292.645440000004</v>
      </c>
      <c r="BR38" s="30">
        <f t="shared" si="152"/>
        <v>183511.74528000003</v>
      </c>
      <c r="BS38" s="38">
        <v>1</v>
      </c>
      <c r="BT38" s="22">
        <f t="shared" si="673"/>
        <v>16210.204166400004</v>
      </c>
      <c r="BU38" s="22">
        <f t="shared" si="674"/>
        <v>16210.204166400004</v>
      </c>
      <c r="BV38" s="22">
        <f t="shared" si="675"/>
        <v>16210.204166400004</v>
      </c>
      <c r="BW38" s="22">
        <f t="shared" si="676"/>
        <v>16210.204166400004</v>
      </c>
      <c r="BX38" s="22">
        <f t="shared" si="677"/>
        <v>16210.204166400004</v>
      </c>
      <c r="BY38" s="22">
        <f t="shared" si="678"/>
        <v>16210.204166400004</v>
      </c>
      <c r="BZ38" s="22">
        <f t="shared" si="679"/>
        <v>16210.204166400004</v>
      </c>
      <c r="CA38" s="22">
        <f t="shared" si="680"/>
        <v>16210.204166400004</v>
      </c>
      <c r="CB38" s="22">
        <f t="shared" si="681"/>
        <v>16210.204166400004</v>
      </c>
      <c r="CC38" s="22">
        <f t="shared" si="682"/>
        <v>16210.204166400004</v>
      </c>
      <c r="CD38" s="22">
        <f t="shared" si="683"/>
        <v>16210.204166400004</v>
      </c>
      <c r="CE38" s="22">
        <f t="shared" si="684"/>
        <v>16210.204166400004</v>
      </c>
      <c r="CF38" s="30">
        <f t="shared" si="154"/>
        <v>194522.44999680007</v>
      </c>
      <c r="CG38" s="38">
        <v>1</v>
      </c>
      <c r="CH38" s="22">
        <f t="shared" si="685"/>
        <v>17182.816416384005</v>
      </c>
      <c r="CI38" s="22">
        <f t="shared" si="686"/>
        <v>17182.816416384005</v>
      </c>
      <c r="CJ38" s="22">
        <f t="shared" si="687"/>
        <v>17182.816416384005</v>
      </c>
      <c r="CK38" s="22">
        <f t="shared" si="688"/>
        <v>17182.816416384005</v>
      </c>
      <c r="CL38" s="22">
        <f t="shared" si="689"/>
        <v>17182.816416384005</v>
      </c>
      <c r="CM38" s="22">
        <f t="shared" si="690"/>
        <v>17182.816416384005</v>
      </c>
      <c r="CN38" s="22">
        <f t="shared" si="691"/>
        <v>17182.816416384005</v>
      </c>
      <c r="CO38" s="22">
        <f t="shared" si="692"/>
        <v>17182.816416384005</v>
      </c>
      <c r="CP38" s="22">
        <f t="shared" si="693"/>
        <v>17182.816416384005</v>
      </c>
      <c r="CQ38" s="22">
        <f t="shared" si="694"/>
        <v>17182.816416384005</v>
      </c>
      <c r="CR38" s="22">
        <f t="shared" si="695"/>
        <v>17182.816416384005</v>
      </c>
      <c r="CS38" s="22">
        <f t="shared" si="696"/>
        <v>17182.816416384005</v>
      </c>
      <c r="CT38" s="30">
        <f t="shared" si="156"/>
        <v>206193.79699660811</v>
      </c>
      <c r="CU38" s="38">
        <v>1</v>
      </c>
      <c r="CV38" s="22">
        <f t="shared" si="697"/>
        <v>18213.785401367048</v>
      </c>
      <c r="CW38" s="22">
        <f t="shared" si="698"/>
        <v>18213.785401367048</v>
      </c>
      <c r="CX38" s="22">
        <f t="shared" si="699"/>
        <v>18213.785401367048</v>
      </c>
      <c r="CY38" s="22">
        <f t="shared" si="700"/>
        <v>18213.785401367048</v>
      </c>
      <c r="CZ38" s="22">
        <f t="shared" si="701"/>
        <v>18213.785401367048</v>
      </c>
      <c r="DA38" s="22">
        <f t="shared" si="702"/>
        <v>18213.785401367048</v>
      </c>
      <c r="DB38" s="22">
        <f t="shared" si="703"/>
        <v>18213.785401367048</v>
      </c>
      <c r="DC38" s="22">
        <f t="shared" si="704"/>
        <v>18213.785401367048</v>
      </c>
      <c r="DD38" s="22">
        <f t="shared" si="705"/>
        <v>18213.785401367048</v>
      </c>
      <c r="DE38" s="22">
        <f t="shared" si="706"/>
        <v>18213.785401367048</v>
      </c>
      <c r="DF38" s="22">
        <f t="shared" si="707"/>
        <v>18213.785401367048</v>
      </c>
      <c r="DG38" s="22">
        <f t="shared" si="708"/>
        <v>18213.785401367048</v>
      </c>
      <c r="DH38" s="30">
        <f t="shared" si="158"/>
        <v>218565.42481640461</v>
      </c>
      <c r="DI38" s="38">
        <v>1</v>
      </c>
      <c r="DJ38" s="22">
        <f t="shared" si="709"/>
        <v>19306.612525449073</v>
      </c>
      <c r="DK38" s="22">
        <f t="shared" si="710"/>
        <v>19306.612525449073</v>
      </c>
      <c r="DL38" s="22">
        <f t="shared" si="711"/>
        <v>19306.612525449073</v>
      </c>
      <c r="DM38" s="22">
        <f t="shared" si="712"/>
        <v>19306.612525449073</v>
      </c>
      <c r="DN38" s="22">
        <f t="shared" si="713"/>
        <v>19306.612525449073</v>
      </c>
      <c r="DO38" s="22">
        <f t="shared" si="714"/>
        <v>19306.612525449073</v>
      </c>
      <c r="DP38" s="22">
        <f t="shared" si="715"/>
        <v>19306.612525449073</v>
      </c>
      <c r="DQ38" s="22">
        <f t="shared" si="716"/>
        <v>19306.612525449073</v>
      </c>
      <c r="DR38" s="22">
        <f t="shared" si="717"/>
        <v>19306.612525449073</v>
      </c>
      <c r="DS38" s="22">
        <f t="shared" si="718"/>
        <v>19306.612525449073</v>
      </c>
      <c r="DT38" s="22">
        <f t="shared" si="719"/>
        <v>19306.612525449073</v>
      </c>
      <c r="DU38" s="22">
        <f t="shared" si="720"/>
        <v>19306.612525449073</v>
      </c>
      <c r="DV38" s="30">
        <f t="shared" si="160"/>
        <v>231679.35030538889</v>
      </c>
      <c r="DW38" s="38">
        <v>1</v>
      </c>
      <c r="DX38" s="22">
        <f t="shared" si="721"/>
        <v>20465.009276976019</v>
      </c>
      <c r="DY38" s="22">
        <f t="shared" si="722"/>
        <v>20465.009276976019</v>
      </c>
      <c r="DZ38" s="22">
        <f t="shared" si="723"/>
        <v>20465.009276976019</v>
      </c>
      <c r="EA38" s="22">
        <f t="shared" si="724"/>
        <v>20465.009276976019</v>
      </c>
      <c r="EB38" s="22">
        <f t="shared" si="725"/>
        <v>20465.009276976019</v>
      </c>
      <c r="EC38" s="22">
        <f t="shared" si="726"/>
        <v>20465.009276976019</v>
      </c>
      <c r="ED38" s="22">
        <f t="shared" si="727"/>
        <v>20465.009276976019</v>
      </c>
      <c r="EE38" s="22">
        <f t="shared" si="728"/>
        <v>20465.009276976019</v>
      </c>
      <c r="EF38" s="22">
        <f t="shared" si="729"/>
        <v>20465.009276976019</v>
      </c>
      <c r="EG38" s="22">
        <f t="shared" si="730"/>
        <v>20465.009276976019</v>
      </c>
      <c r="EH38" s="22">
        <f t="shared" si="731"/>
        <v>20465.009276976019</v>
      </c>
      <c r="EI38" s="22">
        <f t="shared" si="732"/>
        <v>20465.009276976019</v>
      </c>
      <c r="EJ38" s="30">
        <f t="shared" si="162"/>
        <v>245580.11132371225</v>
      </c>
    </row>
    <row r="39" spans="1:140">
      <c r="A39" s="8" t="s">
        <v>62</v>
      </c>
      <c r="B39" s="22">
        <v>8000</v>
      </c>
      <c r="C39" s="22">
        <f t="shared" si="733"/>
        <v>8000</v>
      </c>
      <c r="D39" s="22">
        <f t="shared" si="733"/>
        <v>8000</v>
      </c>
      <c r="E39" s="22">
        <f t="shared" si="733"/>
        <v>8000</v>
      </c>
      <c r="F39" s="22">
        <f t="shared" si="733"/>
        <v>8000</v>
      </c>
      <c r="G39" s="22">
        <f t="shared" si="733"/>
        <v>8000</v>
      </c>
      <c r="H39" s="22">
        <f t="shared" si="733"/>
        <v>8000</v>
      </c>
      <c r="I39" s="22">
        <f t="shared" si="733"/>
        <v>8000</v>
      </c>
      <c r="J39" s="22">
        <f t="shared" si="733"/>
        <v>8000</v>
      </c>
      <c r="K39" s="22">
        <f t="shared" si="733"/>
        <v>8000</v>
      </c>
      <c r="L39" s="22">
        <f t="shared" si="733"/>
        <v>8000</v>
      </c>
      <c r="M39" s="22">
        <f t="shared" si="733"/>
        <v>8000</v>
      </c>
      <c r="N39" s="30">
        <f t="shared" si="144"/>
        <v>96000</v>
      </c>
      <c r="O39" s="38">
        <v>1</v>
      </c>
      <c r="P39" s="22">
        <f t="shared" si="625"/>
        <v>8560</v>
      </c>
      <c r="Q39" s="22">
        <f t="shared" si="626"/>
        <v>8560</v>
      </c>
      <c r="R39" s="22">
        <f t="shared" si="627"/>
        <v>8560</v>
      </c>
      <c r="S39" s="22">
        <f t="shared" si="628"/>
        <v>8560</v>
      </c>
      <c r="T39" s="22">
        <f t="shared" si="629"/>
        <v>8560</v>
      </c>
      <c r="U39" s="22">
        <f t="shared" si="630"/>
        <v>8560</v>
      </c>
      <c r="V39" s="22">
        <f t="shared" si="631"/>
        <v>8560</v>
      </c>
      <c r="W39" s="22">
        <f t="shared" si="632"/>
        <v>8560</v>
      </c>
      <c r="X39" s="22">
        <f t="shared" si="633"/>
        <v>8560</v>
      </c>
      <c r="Y39" s="22">
        <f t="shared" si="634"/>
        <v>8560</v>
      </c>
      <c r="Z39" s="22">
        <f t="shared" si="635"/>
        <v>8560</v>
      </c>
      <c r="AA39" s="22">
        <f t="shared" si="636"/>
        <v>8560</v>
      </c>
      <c r="AB39" s="30">
        <f t="shared" si="146"/>
        <v>102720</v>
      </c>
      <c r="AC39" s="38">
        <v>1</v>
      </c>
      <c r="AD39" s="22">
        <f t="shared" si="637"/>
        <v>9073.6</v>
      </c>
      <c r="AE39" s="22">
        <f t="shared" si="638"/>
        <v>9073.6</v>
      </c>
      <c r="AF39" s="22">
        <f t="shared" si="639"/>
        <v>9073.6</v>
      </c>
      <c r="AG39" s="22">
        <f t="shared" si="640"/>
        <v>9073.6</v>
      </c>
      <c r="AH39" s="22">
        <f t="shared" si="641"/>
        <v>9073.6</v>
      </c>
      <c r="AI39" s="22">
        <f t="shared" si="642"/>
        <v>9073.6</v>
      </c>
      <c r="AJ39" s="22">
        <f t="shared" si="643"/>
        <v>9073.6</v>
      </c>
      <c r="AK39" s="22">
        <f t="shared" si="644"/>
        <v>9073.6</v>
      </c>
      <c r="AL39" s="22">
        <f t="shared" si="645"/>
        <v>9073.6</v>
      </c>
      <c r="AM39" s="22">
        <f t="shared" si="646"/>
        <v>9073.6</v>
      </c>
      <c r="AN39" s="22">
        <f t="shared" si="647"/>
        <v>9073.6</v>
      </c>
      <c r="AO39" s="22">
        <f t="shared" si="648"/>
        <v>9073.6</v>
      </c>
      <c r="AP39" s="30">
        <f t="shared" si="148"/>
        <v>108883.20000000003</v>
      </c>
      <c r="AQ39" s="38">
        <v>1</v>
      </c>
      <c r="AR39" s="22">
        <f t="shared" si="649"/>
        <v>9618.0160000000014</v>
      </c>
      <c r="AS39" s="22">
        <f t="shared" si="650"/>
        <v>9618.0160000000014</v>
      </c>
      <c r="AT39" s="22">
        <f t="shared" si="651"/>
        <v>9618.0160000000014</v>
      </c>
      <c r="AU39" s="22">
        <f t="shared" si="652"/>
        <v>9618.0160000000014</v>
      </c>
      <c r="AV39" s="22">
        <f t="shared" si="653"/>
        <v>9618.0160000000014</v>
      </c>
      <c r="AW39" s="22">
        <f t="shared" si="654"/>
        <v>9618.0160000000014</v>
      </c>
      <c r="AX39" s="22">
        <f t="shared" si="655"/>
        <v>9618.0160000000014</v>
      </c>
      <c r="AY39" s="22">
        <f t="shared" si="656"/>
        <v>9618.0160000000014</v>
      </c>
      <c r="AZ39" s="22">
        <f t="shared" si="657"/>
        <v>9618.0160000000014</v>
      </c>
      <c r="BA39" s="22">
        <f t="shared" si="658"/>
        <v>9618.0160000000014</v>
      </c>
      <c r="BB39" s="22">
        <f t="shared" si="659"/>
        <v>9618.0160000000014</v>
      </c>
      <c r="BC39" s="22">
        <f t="shared" si="660"/>
        <v>9618.0160000000014</v>
      </c>
      <c r="BD39" s="30">
        <f t="shared" si="150"/>
        <v>115416.19200000002</v>
      </c>
      <c r="BE39" s="38">
        <v>1</v>
      </c>
      <c r="BF39" s="22">
        <f t="shared" si="661"/>
        <v>10195.096960000003</v>
      </c>
      <c r="BG39" s="22">
        <f t="shared" si="662"/>
        <v>10195.096960000003</v>
      </c>
      <c r="BH39" s="22">
        <f t="shared" si="663"/>
        <v>10195.096960000003</v>
      </c>
      <c r="BI39" s="22">
        <f t="shared" si="664"/>
        <v>10195.096960000003</v>
      </c>
      <c r="BJ39" s="22">
        <f t="shared" si="665"/>
        <v>10195.096960000003</v>
      </c>
      <c r="BK39" s="22">
        <f t="shared" si="666"/>
        <v>10195.096960000003</v>
      </c>
      <c r="BL39" s="22">
        <f t="shared" si="667"/>
        <v>10195.096960000003</v>
      </c>
      <c r="BM39" s="22">
        <f t="shared" si="668"/>
        <v>10195.096960000003</v>
      </c>
      <c r="BN39" s="22">
        <f t="shared" si="669"/>
        <v>10195.096960000003</v>
      </c>
      <c r="BO39" s="22">
        <f t="shared" si="670"/>
        <v>10195.096960000003</v>
      </c>
      <c r="BP39" s="22">
        <f t="shared" si="671"/>
        <v>10195.096960000003</v>
      </c>
      <c r="BQ39" s="22">
        <f t="shared" si="672"/>
        <v>10195.096960000003</v>
      </c>
      <c r="BR39" s="30">
        <f t="shared" si="152"/>
        <v>122341.16352</v>
      </c>
      <c r="BS39" s="38">
        <v>1</v>
      </c>
      <c r="BT39" s="22">
        <f t="shared" si="673"/>
        <v>10806.802777600004</v>
      </c>
      <c r="BU39" s="22">
        <f t="shared" si="674"/>
        <v>10806.802777600004</v>
      </c>
      <c r="BV39" s="22">
        <f t="shared" si="675"/>
        <v>10806.802777600004</v>
      </c>
      <c r="BW39" s="22">
        <f t="shared" si="676"/>
        <v>10806.802777600004</v>
      </c>
      <c r="BX39" s="22">
        <f t="shared" si="677"/>
        <v>10806.802777600004</v>
      </c>
      <c r="BY39" s="22">
        <f t="shared" si="678"/>
        <v>10806.802777600004</v>
      </c>
      <c r="BZ39" s="22">
        <f t="shared" si="679"/>
        <v>10806.802777600004</v>
      </c>
      <c r="CA39" s="22">
        <f t="shared" si="680"/>
        <v>10806.802777600004</v>
      </c>
      <c r="CB39" s="22">
        <f t="shared" si="681"/>
        <v>10806.802777600004</v>
      </c>
      <c r="CC39" s="22">
        <f t="shared" si="682"/>
        <v>10806.802777600004</v>
      </c>
      <c r="CD39" s="22">
        <f t="shared" si="683"/>
        <v>10806.802777600004</v>
      </c>
      <c r="CE39" s="22">
        <f t="shared" si="684"/>
        <v>10806.802777600004</v>
      </c>
      <c r="CF39" s="30">
        <f t="shared" si="154"/>
        <v>129681.63333120006</v>
      </c>
      <c r="CG39" s="38">
        <v>1</v>
      </c>
      <c r="CH39" s="22">
        <f t="shared" si="685"/>
        <v>11455.210944256005</v>
      </c>
      <c r="CI39" s="22">
        <f t="shared" si="686"/>
        <v>11455.210944256005</v>
      </c>
      <c r="CJ39" s="22">
        <f t="shared" si="687"/>
        <v>11455.210944256005</v>
      </c>
      <c r="CK39" s="22">
        <f t="shared" si="688"/>
        <v>11455.210944256005</v>
      </c>
      <c r="CL39" s="22">
        <f t="shared" si="689"/>
        <v>11455.210944256005</v>
      </c>
      <c r="CM39" s="22">
        <f t="shared" si="690"/>
        <v>11455.210944256005</v>
      </c>
      <c r="CN39" s="22">
        <f t="shared" si="691"/>
        <v>11455.210944256005</v>
      </c>
      <c r="CO39" s="22">
        <f t="shared" si="692"/>
        <v>11455.210944256005</v>
      </c>
      <c r="CP39" s="22">
        <f t="shared" si="693"/>
        <v>11455.210944256005</v>
      </c>
      <c r="CQ39" s="22">
        <f t="shared" si="694"/>
        <v>11455.210944256005</v>
      </c>
      <c r="CR39" s="22">
        <f t="shared" si="695"/>
        <v>11455.210944256005</v>
      </c>
      <c r="CS39" s="22">
        <f t="shared" si="696"/>
        <v>11455.210944256005</v>
      </c>
      <c r="CT39" s="30">
        <f t="shared" si="156"/>
        <v>137462.53133107207</v>
      </c>
      <c r="CU39" s="38">
        <v>1</v>
      </c>
      <c r="CV39" s="22">
        <f t="shared" si="697"/>
        <v>12142.523600911365</v>
      </c>
      <c r="CW39" s="22">
        <f t="shared" si="698"/>
        <v>12142.523600911365</v>
      </c>
      <c r="CX39" s="22">
        <f t="shared" si="699"/>
        <v>12142.523600911365</v>
      </c>
      <c r="CY39" s="22">
        <f t="shared" si="700"/>
        <v>12142.523600911365</v>
      </c>
      <c r="CZ39" s="22">
        <f t="shared" si="701"/>
        <v>12142.523600911365</v>
      </c>
      <c r="DA39" s="22">
        <f t="shared" si="702"/>
        <v>12142.523600911365</v>
      </c>
      <c r="DB39" s="22">
        <f t="shared" si="703"/>
        <v>12142.523600911365</v>
      </c>
      <c r="DC39" s="22">
        <f t="shared" si="704"/>
        <v>12142.523600911365</v>
      </c>
      <c r="DD39" s="22">
        <f t="shared" si="705"/>
        <v>12142.523600911365</v>
      </c>
      <c r="DE39" s="22">
        <f t="shared" si="706"/>
        <v>12142.523600911365</v>
      </c>
      <c r="DF39" s="22">
        <f t="shared" si="707"/>
        <v>12142.523600911365</v>
      </c>
      <c r="DG39" s="22">
        <f t="shared" si="708"/>
        <v>12142.523600911365</v>
      </c>
      <c r="DH39" s="30">
        <f t="shared" si="158"/>
        <v>145710.28321093641</v>
      </c>
      <c r="DI39" s="38">
        <v>1</v>
      </c>
      <c r="DJ39" s="22">
        <f t="shared" si="709"/>
        <v>12871.075016966048</v>
      </c>
      <c r="DK39" s="22">
        <f t="shared" si="710"/>
        <v>12871.075016966048</v>
      </c>
      <c r="DL39" s="22">
        <f t="shared" si="711"/>
        <v>12871.075016966048</v>
      </c>
      <c r="DM39" s="22">
        <f t="shared" si="712"/>
        <v>12871.075016966048</v>
      </c>
      <c r="DN39" s="22">
        <f t="shared" si="713"/>
        <v>12871.075016966048</v>
      </c>
      <c r="DO39" s="22">
        <f t="shared" si="714"/>
        <v>12871.075016966048</v>
      </c>
      <c r="DP39" s="22">
        <f t="shared" si="715"/>
        <v>12871.075016966048</v>
      </c>
      <c r="DQ39" s="22">
        <f t="shared" si="716"/>
        <v>12871.075016966048</v>
      </c>
      <c r="DR39" s="22">
        <f t="shared" si="717"/>
        <v>12871.075016966048</v>
      </c>
      <c r="DS39" s="22">
        <f t="shared" si="718"/>
        <v>12871.075016966048</v>
      </c>
      <c r="DT39" s="22">
        <f t="shared" si="719"/>
        <v>12871.075016966048</v>
      </c>
      <c r="DU39" s="22">
        <f t="shared" si="720"/>
        <v>12871.075016966048</v>
      </c>
      <c r="DV39" s="30">
        <f t="shared" si="160"/>
        <v>154452.90020359258</v>
      </c>
      <c r="DW39" s="38">
        <v>1</v>
      </c>
      <c r="DX39" s="22">
        <f t="shared" si="721"/>
        <v>13643.339517984012</v>
      </c>
      <c r="DY39" s="22">
        <f t="shared" si="722"/>
        <v>13643.339517984012</v>
      </c>
      <c r="DZ39" s="22">
        <f t="shared" si="723"/>
        <v>13643.339517984012</v>
      </c>
      <c r="EA39" s="22">
        <f t="shared" si="724"/>
        <v>13643.339517984012</v>
      </c>
      <c r="EB39" s="22">
        <f t="shared" si="725"/>
        <v>13643.339517984012</v>
      </c>
      <c r="EC39" s="22">
        <f t="shared" si="726"/>
        <v>13643.339517984012</v>
      </c>
      <c r="ED39" s="22">
        <f t="shared" si="727"/>
        <v>13643.339517984012</v>
      </c>
      <c r="EE39" s="22">
        <f t="shared" si="728"/>
        <v>13643.339517984012</v>
      </c>
      <c r="EF39" s="22">
        <f t="shared" si="729"/>
        <v>13643.339517984012</v>
      </c>
      <c r="EG39" s="22">
        <f t="shared" si="730"/>
        <v>13643.339517984012</v>
      </c>
      <c r="EH39" s="22">
        <f t="shared" si="731"/>
        <v>13643.339517984012</v>
      </c>
      <c r="EI39" s="22">
        <f t="shared" si="732"/>
        <v>13643.339517984012</v>
      </c>
      <c r="EJ39" s="30">
        <f t="shared" si="162"/>
        <v>163720.07421580816</v>
      </c>
    </row>
    <row r="40" spans="1:140">
      <c r="A40" s="8" t="s">
        <v>76</v>
      </c>
      <c r="B40" s="22">
        <v>6000</v>
      </c>
      <c r="C40" s="22">
        <f t="shared" si="733"/>
        <v>6000</v>
      </c>
      <c r="D40" s="22">
        <f t="shared" si="733"/>
        <v>6000</v>
      </c>
      <c r="E40" s="22">
        <f t="shared" si="733"/>
        <v>6000</v>
      </c>
      <c r="F40" s="22">
        <f t="shared" si="733"/>
        <v>6000</v>
      </c>
      <c r="G40" s="22">
        <f t="shared" si="733"/>
        <v>6000</v>
      </c>
      <c r="H40" s="22">
        <f t="shared" si="733"/>
        <v>6000</v>
      </c>
      <c r="I40" s="22">
        <f t="shared" si="733"/>
        <v>6000</v>
      </c>
      <c r="J40" s="22">
        <f t="shared" si="733"/>
        <v>6000</v>
      </c>
      <c r="K40" s="22">
        <f t="shared" si="733"/>
        <v>6000</v>
      </c>
      <c r="L40" s="22">
        <f t="shared" si="733"/>
        <v>6000</v>
      </c>
      <c r="M40" s="22">
        <f t="shared" si="733"/>
        <v>6000</v>
      </c>
      <c r="N40" s="30">
        <f t="shared" si="144"/>
        <v>72000</v>
      </c>
      <c r="O40" s="38">
        <v>1</v>
      </c>
      <c r="P40" s="22">
        <f t="shared" si="625"/>
        <v>6420</v>
      </c>
      <c r="Q40" s="22">
        <f t="shared" si="626"/>
        <v>6420</v>
      </c>
      <c r="R40" s="22">
        <f t="shared" si="627"/>
        <v>6420</v>
      </c>
      <c r="S40" s="22">
        <f t="shared" si="628"/>
        <v>6420</v>
      </c>
      <c r="T40" s="22">
        <f t="shared" si="629"/>
        <v>6420</v>
      </c>
      <c r="U40" s="22">
        <f t="shared" si="630"/>
        <v>6420</v>
      </c>
      <c r="V40" s="22">
        <f t="shared" si="631"/>
        <v>6420</v>
      </c>
      <c r="W40" s="22">
        <f t="shared" si="632"/>
        <v>6420</v>
      </c>
      <c r="X40" s="22">
        <f t="shared" si="633"/>
        <v>6420</v>
      </c>
      <c r="Y40" s="22">
        <f t="shared" si="634"/>
        <v>6420</v>
      </c>
      <c r="Z40" s="22">
        <f t="shared" si="635"/>
        <v>6420</v>
      </c>
      <c r="AA40" s="22">
        <f t="shared" si="636"/>
        <v>6420</v>
      </c>
      <c r="AB40" s="30">
        <f t="shared" si="146"/>
        <v>77040</v>
      </c>
      <c r="AC40" s="38">
        <v>1</v>
      </c>
      <c r="AD40" s="22">
        <f t="shared" si="637"/>
        <v>6805.2000000000007</v>
      </c>
      <c r="AE40" s="22">
        <f t="shared" si="638"/>
        <v>6805.2000000000007</v>
      </c>
      <c r="AF40" s="22">
        <f t="shared" si="639"/>
        <v>6805.2000000000007</v>
      </c>
      <c r="AG40" s="22">
        <f t="shared" si="640"/>
        <v>6805.2000000000007</v>
      </c>
      <c r="AH40" s="22">
        <f t="shared" si="641"/>
        <v>6805.2000000000007</v>
      </c>
      <c r="AI40" s="22">
        <f t="shared" si="642"/>
        <v>6805.2000000000007</v>
      </c>
      <c r="AJ40" s="22">
        <f t="shared" si="643"/>
        <v>6805.2000000000007</v>
      </c>
      <c r="AK40" s="22">
        <f t="shared" si="644"/>
        <v>6805.2000000000007</v>
      </c>
      <c r="AL40" s="22">
        <f t="shared" si="645"/>
        <v>6805.2000000000007</v>
      </c>
      <c r="AM40" s="22">
        <f t="shared" si="646"/>
        <v>6805.2000000000007</v>
      </c>
      <c r="AN40" s="22">
        <f t="shared" si="647"/>
        <v>6805.2000000000007</v>
      </c>
      <c r="AO40" s="22">
        <f t="shared" si="648"/>
        <v>6805.2000000000007</v>
      </c>
      <c r="AP40" s="30">
        <f t="shared" si="148"/>
        <v>81662.39999999998</v>
      </c>
      <c r="AQ40" s="38">
        <v>1</v>
      </c>
      <c r="AR40" s="22">
        <f t="shared" si="649"/>
        <v>7213.5120000000015</v>
      </c>
      <c r="AS40" s="22">
        <f t="shared" si="650"/>
        <v>7213.5120000000015</v>
      </c>
      <c r="AT40" s="22">
        <f t="shared" si="651"/>
        <v>7213.5120000000015</v>
      </c>
      <c r="AU40" s="22">
        <f t="shared" si="652"/>
        <v>7213.5120000000015</v>
      </c>
      <c r="AV40" s="22">
        <f t="shared" si="653"/>
        <v>7213.5120000000015</v>
      </c>
      <c r="AW40" s="22">
        <f t="shared" si="654"/>
        <v>7213.5120000000015</v>
      </c>
      <c r="AX40" s="22">
        <f t="shared" si="655"/>
        <v>7213.5120000000015</v>
      </c>
      <c r="AY40" s="22">
        <f t="shared" si="656"/>
        <v>7213.5120000000015</v>
      </c>
      <c r="AZ40" s="22">
        <f t="shared" si="657"/>
        <v>7213.5120000000015</v>
      </c>
      <c r="BA40" s="22">
        <f t="shared" si="658"/>
        <v>7213.5120000000015</v>
      </c>
      <c r="BB40" s="22">
        <f t="shared" si="659"/>
        <v>7213.5120000000015</v>
      </c>
      <c r="BC40" s="22">
        <f t="shared" si="660"/>
        <v>7213.5120000000015</v>
      </c>
      <c r="BD40" s="30">
        <f t="shared" si="150"/>
        <v>86562.144000000015</v>
      </c>
      <c r="BE40" s="38">
        <v>1</v>
      </c>
      <c r="BF40" s="22">
        <f t="shared" si="661"/>
        <v>7646.3227200000019</v>
      </c>
      <c r="BG40" s="22">
        <f t="shared" si="662"/>
        <v>7646.3227200000019</v>
      </c>
      <c r="BH40" s="22">
        <f t="shared" si="663"/>
        <v>7646.3227200000019</v>
      </c>
      <c r="BI40" s="22">
        <f t="shared" si="664"/>
        <v>7646.3227200000019</v>
      </c>
      <c r="BJ40" s="22">
        <f t="shared" si="665"/>
        <v>7646.3227200000019</v>
      </c>
      <c r="BK40" s="22">
        <f t="shared" si="666"/>
        <v>7646.3227200000019</v>
      </c>
      <c r="BL40" s="22">
        <f t="shared" si="667"/>
        <v>7646.3227200000019</v>
      </c>
      <c r="BM40" s="22">
        <f t="shared" si="668"/>
        <v>7646.3227200000019</v>
      </c>
      <c r="BN40" s="22">
        <f t="shared" si="669"/>
        <v>7646.3227200000019</v>
      </c>
      <c r="BO40" s="22">
        <f t="shared" si="670"/>
        <v>7646.3227200000019</v>
      </c>
      <c r="BP40" s="22">
        <f t="shared" si="671"/>
        <v>7646.3227200000019</v>
      </c>
      <c r="BQ40" s="22">
        <f t="shared" si="672"/>
        <v>7646.3227200000019</v>
      </c>
      <c r="BR40" s="30">
        <f t="shared" si="152"/>
        <v>91755.872640000016</v>
      </c>
      <c r="BS40" s="38">
        <v>1</v>
      </c>
      <c r="BT40" s="22">
        <f t="shared" si="673"/>
        <v>8105.1020832000022</v>
      </c>
      <c r="BU40" s="22">
        <f t="shared" si="674"/>
        <v>8105.1020832000022</v>
      </c>
      <c r="BV40" s="22">
        <f t="shared" si="675"/>
        <v>8105.1020832000022</v>
      </c>
      <c r="BW40" s="22">
        <f t="shared" si="676"/>
        <v>8105.1020832000022</v>
      </c>
      <c r="BX40" s="22">
        <f t="shared" si="677"/>
        <v>8105.1020832000022</v>
      </c>
      <c r="BY40" s="22">
        <f t="shared" si="678"/>
        <v>8105.1020832000022</v>
      </c>
      <c r="BZ40" s="22">
        <f t="shared" si="679"/>
        <v>8105.1020832000022</v>
      </c>
      <c r="CA40" s="22">
        <f t="shared" si="680"/>
        <v>8105.1020832000022</v>
      </c>
      <c r="CB40" s="22">
        <f t="shared" si="681"/>
        <v>8105.1020832000022</v>
      </c>
      <c r="CC40" s="22">
        <f t="shared" si="682"/>
        <v>8105.1020832000022</v>
      </c>
      <c r="CD40" s="22">
        <f t="shared" si="683"/>
        <v>8105.1020832000022</v>
      </c>
      <c r="CE40" s="22">
        <f t="shared" si="684"/>
        <v>8105.1020832000022</v>
      </c>
      <c r="CF40" s="30">
        <f t="shared" si="154"/>
        <v>97261.224998400037</v>
      </c>
      <c r="CG40" s="38">
        <v>1</v>
      </c>
      <c r="CH40" s="22">
        <f t="shared" si="685"/>
        <v>8591.4082081920023</v>
      </c>
      <c r="CI40" s="22">
        <f t="shared" si="686"/>
        <v>8591.4082081920023</v>
      </c>
      <c r="CJ40" s="22">
        <f t="shared" si="687"/>
        <v>8591.4082081920023</v>
      </c>
      <c r="CK40" s="22">
        <f t="shared" si="688"/>
        <v>8591.4082081920023</v>
      </c>
      <c r="CL40" s="22">
        <f t="shared" si="689"/>
        <v>8591.4082081920023</v>
      </c>
      <c r="CM40" s="22">
        <f t="shared" si="690"/>
        <v>8591.4082081920023</v>
      </c>
      <c r="CN40" s="22">
        <f t="shared" si="691"/>
        <v>8591.4082081920023</v>
      </c>
      <c r="CO40" s="22">
        <f t="shared" si="692"/>
        <v>8591.4082081920023</v>
      </c>
      <c r="CP40" s="22">
        <f t="shared" si="693"/>
        <v>8591.4082081920023</v>
      </c>
      <c r="CQ40" s="22">
        <f t="shared" si="694"/>
        <v>8591.4082081920023</v>
      </c>
      <c r="CR40" s="22">
        <f t="shared" si="695"/>
        <v>8591.4082081920023</v>
      </c>
      <c r="CS40" s="22">
        <f t="shared" si="696"/>
        <v>8591.4082081920023</v>
      </c>
      <c r="CT40" s="30">
        <f t="shared" si="156"/>
        <v>103096.89849830406</v>
      </c>
      <c r="CU40" s="38">
        <v>1</v>
      </c>
      <c r="CV40" s="22">
        <f t="shared" si="697"/>
        <v>9106.8927006835238</v>
      </c>
      <c r="CW40" s="22">
        <f t="shared" si="698"/>
        <v>9106.8927006835238</v>
      </c>
      <c r="CX40" s="22">
        <f t="shared" si="699"/>
        <v>9106.8927006835238</v>
      </c>
      <c r="CY40" s="22">
        <f t="shared" si="700"/>
        <v>9106.8927006835238</v>
      </c>
      <c r="CZ40" s="22">
        <f t="shared" si="701"/>
        <v>9106.8927006835238</v>
      </c>
      <c r="DA40" s="22">
        <f t="shared" si="702"/>
        <v>9106.8927006835238</v>
      </c>
      <c r="DB40" s="22">
        <f t="shared" si="703"/>
        <v>9106.8927006835238</v>
      </c>
      <c r="DC40" s="22">
        <f t="shared" si="704"/>
        <v>9106.8927006835238</v>
      </c>
      <c r="DD40" s="22">
        <f t="shared" si="705"/>
        <v>9106.8927006835238</v>
      </c>
      <c r="DE40" s="22">
        <f t="shared" si="706"/>
        <v>9106.8927006835238</v>
      </c>
      <c r="DF40" s="22">
        <f t="shared" si="707"/>
        <v>9106.8927006835238</v>
      </c>
      <c r="DG40" s="22">
        <f t="shared" si="708"/>
        <v>9106.8927006835238</v>
      </c>
      <c r="DH40" s="30">
        <f t="shared" si="158"/>
        <v>109282.71240820231</v>
      </c>
      <c r="DI40" s="38">
        <v>1</v>
      </c>
      <c r="DJ40" s="22">
        <f t="shared" si="709"/>
        <v>9653.3062627245363</v>
      </c>
      <c r="DK40" s="22">
        <f t="shared" si="710"/>
        <v>9653.3062627245363</v>
      </c>
      <c r="DL40" s="22">
        <f t="shared" si="711"/>
        <v>9653.3062627245363</v>
      </c>
      <c r="DM40" s="22">
        <f t="shared" si="712"/>
        <v>9653.3062627245363</v>
      </c>
      <c r="DN40" s="22">
        <f t="shared" si="713"/>
        <v>9653.3062627245363</v>
      </c>
      <c r="DO40" s="22">
        <f t="shared" si="714"/>
        <v>9653.3062627245363</v>
      </c>
      <c r="DP40" s="22">
        <f t="shared" si="715"/>
        <v>9653.3062627245363</v>
      </c>
      <c r="DQ40" s="22">
        <f t="shared" si="716"/>
        <v>9653.3062627245363</v>
      </c>
      <c r="DR40" s="22">
        <f t="shared" si="717"/>
        <v>9653.3062627245363</v>
      </c>
      <c r="DS40" s="22">
        <f t="shared" si="718"/>
        <v>9653.3062627245363</v>
      </c>
      <c r="DT40" s="22">
        <f t="shared" si="719"/>
        <v>9653.3062627245363</v>
      </c>
      <c r="DU40" s="22">
        <f t="shared" si="720"/>
        <v>9653.3062627245363</v>
      </c>
      <c r="DV40" s="30">
        <f t="shared" si="160"/>
        <v>115839.67515269444</v>
      </c>
      <c r="DW40" s="38">
        <v>1</v>
      </c>
      <c r="DX40" s="22">
        <f t="shared" si="721"/>
        <v>10232.50463848801</v>
      </c>
      <c r="DY40" s="22">
        <f t="shared" si="722"/>
        <v>10232.50463848801</v>
      </c>
      <c r="DZ40" s="22">
        <f t="shared" si="723"/>
        <v>10232.50463848801</v>
      </c>
      <c r="EA40" s="22">
        <f t="shared" si="724"/>
        <v>10232.50463848801</v>
      </c>
      <c r="EB40" s="22">
        <f t="shared" si="725"/>
        <v>10232.50463848801</v>
      </c>
      <c r="EC40" s="22">
        <f t="shared" si="726"/>
        <v>10232.50463848801</v>
      </c>
      <c r="ED40" s="22">
        <f t="shared" si="727"/>
        <v>10232.50463848801</v>
      </c>
      <c r="EE40" s="22">
        <f t="shared" si="728"/>
        <v>10232.50463848801</v>
      </c>
      <c r="EF40" s="22">
        <f t="shared" si="729"/>
        <v>10232.50463848801</v>
      </c>
      <c r="EG40" s="22">
        <f t="shared" si="730"/>
        <v>10232.50463848801</v>
      </c>
      <c r="EH40" s="22">
        <f t="shared" si="731"/>
        <v>10232.50463848801</v>
      </c>
      <c r="EI40" s="22">
        <f t="shared" si="732"/>
        <v>10232.50463848801</v>
      </c>
      <c r="EJ40" s="30">
        <f t="shared" si="162"/>
        <v>122790.05566185612</v>
      </c>
    </row>
    <row r="41" spans="1:140">
      <c r="A41" s="18" t="s">
        <v>241</v>
      </c>
      <c r="B41" s="30">
        <f>B42+B49+B52</f>
        <v>63900</v>
      </c>
      <c r="C41" s="30">
        <f t="shared" ref="C41:M41" si="734">C42+C49+C52</f>
        <v>63900</v>
      </c>
      <c r="D41" s="30">
        <f t="shared" si="734"/>
        <v>63900</v>
      </c>
      <c r="E41" s="30">
        <f t="shared" si="734"/>
        <v>63900</v>
      </c>
      <c r="F41" s="30">
        <f t="shared" si="734"/>
        <v>63900</v>
      </c>
      <c r="G41" s="30">
        <f t="shared" si="734"/>
        <v>63900</v>
      </c>
      <c r="H41" s="30">
        <f t="shared" si="734"/>
        <v>63900</v>
      </c>
      <c r="I41" s="30">
        <f t="shared" si="734"/>
        <v>63900</v>
      </c>
      <c r="J41" s="30">
        <f t="shared" si="734"/>
        <v>63900</v>
      </c>
      <c r="K41" s="30">
        <f t="shared" si="734"/>
        <v>63900</v>
      </c>
      <c r="L41" s="30">
        <f t="shared" si="734"/>
        <v>63900</v>
      </c>
      <c r="M41" s="30">
        <f t="shared" si="734"/>
        <v>63900</v>
      </c>
      <c r="N41" s="30">
        <f t="shared" si="144"/>
        <v>766800</v>
      </c>
      <c r="O41" s="38"/>
      <c r="P41" s="30">
        <f>P42+P49+P52</f>
        <v>68694</v>
      </c>
      <c r="Q41" s="30">
        <f t="shared" ref="Q41" si="735">Q42+Q49+Q52</f>
        <v>68694</v>
      </c>
      <c r="R41" s="30">
        <f t="shared" ref="R41" si="736">R42+R49+R52</f>
        <v>68694</v>
      </c>
      <c r="S41" s="30">
        <f t="shared" ref="S41" si="737">S42+S49+S52</f>
        <v>68694</v>
      </c>
      <c r="T41" s="30">
        <f t="shared" ref="T41" si="738">T42+T49+T52</f>
        <v>68694</v>
      </c>
      <c r="U41" s="30">
        <f t="shared" ref="U41" si="739">U42+U49+U52</f>
        <v>68694</v>
      </c>
      <c r="V41" s="30">
        <f t="shared" ref="V41" si="740">V42+V49+V52</f>
        <v>68694</v>
      </c>
      <c r="W41" s="30">
        <f t="shared" ref="W41" si="741">W42+W49+W52</f>
        <v>68694</v>
      </c>
      <c r="X41" s="30">
        <f t="shared" ref="X41" si="742">X42+X49+X52</f>
        <v>68694</v>
      </c>
      <c r="Y41" s="30">
        <f t="shared" ref="Y41" si="743">Y42+Y49+Y52</f>
        <v>68694</v>
      </c>
      <c r="Z41" s="30">
        <f t="shared" ref="Z41" si="744">Z42+Z49+Z52</f>
        <v>68694</v>
      </c>
      <c r="AA41" s="30">
        <f t="shared" ref="AA41" si="745">AA42+AA49+AA52</f>
        <v>68694</v>
      </c>
      <c r="AB41" s="30">
        <f t="shared" si="146"/>
        <v>824328</v>
      </c>
      <c r="AC41" s="38"/>
      <c r="AD41" s="30">
        <f>AD42+AD49+AD52</f>
        <v>73399.752999999997</v>
      </c>
      <c r="AE41" s="30">
        <f t="shared" ref="AE41" si="746">AE42+AE49+AE52</f>
        <v>73399.752999999997</v>
      </c>
      <c r="AF41" s="30">
        <f t="shared" ref="AF41" si="747">AF42+AF49+AF52</f>
        <v>73399.752999999997</v>
      </c>
      <c r="AG41" s="30">
        <f t="shared" ref="AG41" si="748">AG42+AG49+AG52</f>
        <v>73399.752999999997</v>
      </c>
      <c r="AH41" s="30">
        <f t="shared" ref="AH41" si="749">AH42+AH49+AH52</f>
        <v>73399.752999999997</v>
      </c>
      <c r="AI41" s="30">
        <f t="shared" ref="AI41" si="750">AI42+AI49+AI52</f>
        <v>73399.752999999997</v>
      </c>
      <c r="AJ41" s="30">
        <f t="shared" ref="AJ41" si="751">AJ42+AJ49+AJ52</f>
        <v>73399.752999999997</v>
      </c>
      <c r="AK41" s="30">
        <f t="shared" ref="AK41" si="752">AK42+AK49+AK52</f>
        <v>73399.752999999997</v>
      </c>
      <c r="AL41" s="30">
        <f t="shared" ref="AL41" si="753">AL42+AL49+AL52</f>
        <v>73399.752999999997</v>
      </c>
      <c r="AM41" s="30">
        <f t="shared" ref="AM41" si="754">AM42+AM49+AM52</f>
        <v>73399.752999999997</v>
      </c>
      <c r="AN41" s="30">
        <f t="shared" ref="AN41" si="755">AN42+AN49+AN52</f>
        <v>73399.752999999997</v>
      </c>
      <c r="AO41" s="30">
        <f t="shared" ref="AO41" si="756">AO42+AO49+AO52</f>
        <v>73399.752999999997</v>
      </c>
      <c r="AP41" s="30">
        <f t="shared" si="148"/>
        <v>880797.0360000002</v>
      </c>
      <c r="AQ41" s="38"/>
      <c r="AR41" s="30">
        <f>AR42+AR49+AR52</f>
        <v>78453.855949000019</v>
      </c>
      <c r="AS41" s="30">
        <f t="shared" ref="AS41" si="757">AS42+AS49+AS52</f>
        <v>78453.855949000019</v>
      </c>
      <c r="AT41" s="30">
        <f t="shared" ref="AT41" si="758">AT42+AT49+AT52</f>
        <v>78453.855949000019</v>
      </c>
      <c r="AU41" s="30">
        <f t="shared" ref="AU41" si="759">AU42+AU49+AU52</f>
        <v>78453.855949000019</v>
      </c>
      <c r="AV41" s="30">
        <f t="shared" ref="AV41" si="760">AV42+AV49+AV52</f>
        <v>78453.855949000019</v>
      </c>
      <c r="AW41" s="30">
        <f t="shared" ref="AW41" si="761">AW42+AW49+AW52</f>
        <v>78453.855949000019</v>
      </c>
      <c r="AX41" s="30">
        <f t="shared" ref="AX41" si="762">AX42+AX49+AX52</f>
        <v>78453.855949000019</v>
      </c>
      <c r="AY41" s="30">
        <f t="shared" ref="AY41" si="763">AY42+AY49+AY52</f>
        <v>78453.855949000019</v>
      </c>
      <c r="AZ41" s="30">
        <f t="shared" ref="AZ41" si="764">AZ42+AZ49+AZ52</f>
        <v>78453.855949000019</v>
      </c>
      <c r="BA41" s="30">
        <f t="shared" ref="BA41" si="765">BA42+BA49+BA52</f>
        <v>78453.855949000019</v>
      </c>
      <c r="BB41" s="30">
        <f t="shared" ref="BB41" si="766">BB42+BB49+BB52</f>
        <v>78453.855949000019</v>
      </c>
      <c r="BC41" s="30">
        <f t="shared" ref="BC41" si="767">BC42+BC49+BC52</f>
        <v>78453.855949000019</v>
      </c>
      <c r="BD41" s="30">
        <f t="shared" si="150"/>
        <v>941446.27138799999</v>
      </c>
      <c r="BE41" s="38"/>
      <c r="BF41" s="30">
        <f>BF42+BF49+BF52</f>
        <v>83884.66838283703</v>
      </c>
      <c r="BG41" s="30">
        <f t="shared" ref="BG41" si="768">BG42+BG49+BG52</f>
        <v>83884.66838283703</v>
      </c>
      <c r="BH41" s="30">
        <f t="shared" ref="BH41" si="769">BH42+BH49+BH52</f>
        <v>83884.66838283703</v>
      </c>
      <c r="BI41" s="30">
        <f t="shared" ref="BI41" si="770">BI42+BI49+BI52</f>
        <v>83884.66838283703</v>
      </c>
      <c r="BJ41" s="30">
        <f t="shared" ref="BJ41" si="771">BJ42+BJ49+BJ52</f>
        <v>83884.66838283703</v>
      </c>
      <c r="BK41" s="30">
        <f t="shared" ref="BK41" si="772">BK42+BK49+BK52</f>
        <v>83884.66838283703</v>
      </c>
      <c r="BL41" s="30">
        <f t="shared" ref="BL41" si="773">BL42+BL49+BL52</f>
        <v>83884.66838283703</v>
      </c>
      <c r="BM41" s="30">
        <f t="shared" ref="BM41" si="774">BM42+BM49+BM52</f>
        <v>83884.66838283703</v>
      </c>
      <c r="BN41" s="30">
        <f t="shared" ref="BN41" si="775">BN42+BN49+BN52</f>
        <v>83884.66838283703</v>
      </c>
      <c r="BO41" s="30">
        <f t="shared" ref="BO41" si="776">BO42+BO49+BO52</f>
        <v>83884.66838283703</v>
      </c>
      <c r="BP41" s="30">
        <f t="shared" ref="BP41" si="777">BP42+BP49+BP52</f>
        <v>83884.66838283703</v>
      </c>
      <c r="BQ41" s="30">
        <f t="shared" ref="BQ41" si="778">BQ42+BQ49+BQ52</f>
        <v>83884.66838283703</v>
      </c>
      <c r="BR41" s="30">
        <f t="shared" si="152"/>
        <v>1006616.0205940441</v>
      </c>
      <c r="BS41" s="38"/>
      <c r="BT41" s="30">
        <f>BT42+BT49+BT52</f>
        <v>89723.094224393601</v>
      </c>
      <c r="BU41" s="30">
        <f t="shared" ref="BU41" si="779">BU42+BU49+BU52</f>
        <v>89723.094224393601</v>
      </c>
      <c r="BV41" s="30">
        <f t="shared" ref="BV41" si="780">BV42+BV49+BV52</f>
        <v>89723.094224393601</v>
      </c>
      <c r="BW41" s="30">
        <f t="shared" ref="BW41" si="781">BW42+BW49+BW52</f>
        <v>89723.094224393601</v>
      </c>
      <c r="BX41" s="30">
        <f t="shared" ref="BX41" si="782">BX42+BX49+BX52</f>
        <v>89723.094224393601</v>
      </c>
      <c r="BY41" s="30">
        <f t="shared" ref="BY41" si="783">BY42+BY49+BY52</f>
        <v>89723.094224393601</v>
      </c>
      <c r="BZ41" s="30">
        <f t="shared" ref="BZ41" si="784">BZ42+BZ49+BZ52</f>
        <v>89723.094224393601</v>
      </c>
      <c r="CA41" s="30">
        <f t="shared" ref="CA41" si="785">CA42+CA49+CA52</f>
        <v>89723.094224393601</v>
      </c>
      <c r="CB41" s="30">
        <f t="shared" ref="CB41" si="786">CB42+CB49+CB52</f>
        <v>89723.094224393601</v>
      </c>
      <c r="CC41" s="30">
        <f t="shared" ref="CC41" si="787">CC42+CC49+CC52</f>
        <v>89723.094224393601</v>
      </c>
      <c r="CD41" s="30">
        <f t="shared" ref="CD41" si="788">CD42+CD49+CD52</f>
        <v>89723.094224393601</v>
      </c>
      <c r="CE41" s="30">
        <f t="shared" ref="CE41" si="789">CE42+CE49+CE52</f>
        <v>89723.094224393601</v>
      </c>
      <c r="CF41" s="30">
        <f t="shared" si="154"/>
        <v>1076677.1306927232</v>
      </c>
      <c r="CG41" s="38"/>
      <c r="CH41" s="30">
        <f>CH42+CH49+CH52</f>
        <v>96002.82968490386</v>
      </c>
      <c r="CI41" s="30">
        <f t="shared" ref="CI41" si="790">CI42+CI49+CI52</f>
        <v>96002.82968490386</v>
      </c>
      <c r="CJ41" s="30">
        <f t="shared" ref="CJ41" si="791">CJ42+CJ49+CJ52</f>
        <v>96002.82968490386</v>
      </c>
      <c r="CK41" s="30">
        <f t="shared" ref="CK41" si="792">CK42+CK49+CK52</f>
        <v>96002.82968490386</v>
      </c>
      <c r="CL41" s="30">
        <f t="shared" ref="CL41" si="793">CL42+CL49+CL52</f>
        <v>96002.82968490386</v>
      </c>
      <c r="CM41" s="30">
        <f t="shared" ref="CM41" si="794">CM42+CM49+CM52</f>
        <v>96002.82968490386</v>
      </c>
      <c r="CN41" s="30">
        <f t="shared" ref="CN41" si="795">CN42+CN49+CN52</f>
        <v>96002.82968490386</v>
      </c>
      <c r="CO41" s="30">
        <f t="shared" ref="CO41" si="796">CO42+CO49+CO52</f>
        <v>96002.82968490386</v>
      </c>
      <c r="CP41" s="30">
        <f t="shared" ref="CP41" si="797">CP42+CP49+CP52</f>
        <v>96002.82968490386</v>
      </c>
      <c r="CQ41" s="30">
        <f t="shared" ref="CQ41" si="798">CQ42+CQ49+CQ52</f>
        <v>96002.82968490386</v>
      </c>
      <c r="CR41" s="30">
        <f t="shared" ref="CR41" si="799">CR42+CR49+CR52</f>
        <v>96002.82968490386</v>
      </c>
      <c r="CS41" s="30">
        <f t="shared" ref="CS41" si="800">CS42+CS49+CS52</f>
        <v>96002.82968490386</v>
      </c>
      <c r="CT41" s="30">
        <f t="shared" si="156"/>
        <v>1152033.9562188464</v>
      </c>
      <c r="CU41" s="38"/>
      <c r="CV41" s="30">
        <f>CV42+CV49+CV52</f>
        <v>102760.63680124097</v>
      </c>
      <c r="CW41" s="30">
        <f t="shared" ref="CW41" si="801">CW42+CW49+CW52</f>
        <v>102760.63680124097</v>
      </c>
      <c r="CX41" s="30">
        <f t="shared" ref="CX41" si="802">CX42+CX49+CX52</f>
        <v>102760.63680124097</v>
      </c>
      <c r="CY41" s="30">
        <f t="shared" ref="CY41" si="803">CY42+CY49+CY52</f>
        <v>102760.63680124097</v>
      </c>
      <c r="CZ41" s="30">
        <f t="shared" ref="CZ41" si="804">CZ42+CZ49+CZ52</f>
        <v>102760.63680124097</v>
      </c>
      <c r="DA41" s="30">
        <f t="shared" ref="DA41" si="805">DA42+DA49+DA52</f>
        <v>102760.63680124097</v>
      </c>
      <c r="DB41" s="30">
        <f t="shared" ref="DB41" si="806">DB42+DB49+DB52</f>
        <v>102760.63680124097</v>
      </c>
      <c r="DC41" s="30">
        <f t="shared" ref="DC41" si="807">DC42+DC49+DC52</f>
        <v>102760.63680124097</v>
      </c>
      <c r="DD41" s="30">
        <f t="shared" ref="DD41" si="808">DD42+DD49+DD52</f>
        <v>102760.63680124097</v>
      </c>
      <c r="DE41" s="30">
        <f t="shared" ref="DE41" si="809">DE42+DE49+DE52</f>
        <v>102760.63680124097</v>
      </c>
      <c r="DF41" s="30">
        <f t="shared" ref="DF41" si="810">DF42+DF49+DF52</f>
        <v>102760.63680124097</v>
      </c>
      <c r="DG41" s="30">
        <f t="shared" ref="DG41" si="811">DG42+DG49+DG52</f>
        <v>102760.63680124097</v>
      </c>
      <c r="DH41" s="30">
        <f t="shared" si="158"/>
        <v>1233127.6416148916</v>
      </c>
      <c r="DI41" s="38"/>
      <c r="DJ41" s="30">
        <f>DJ42+DJ49+DJ52</f>
        <v>110036.64536344077</v>
      </c>
      <c r="DK41" s="30">
        <f t="shared" ref="DK41" si="812">DK42+DK49+DK52</f>
        <v>110036.64536344077</v>
      </c>
      <c r="DL41" s="30">
        <f t="shared" ref="DL41" si="813">DL42+DL49+DL52</f>
        <v>110036.64536344077</v>
      </c>
      <c r="DM41" s="30">
        <f t="shared" ref="DM41" si="814">DM42+DM49+DM52</f>
        <v>110036.64536344077</v>
      </c>
      <c r="DN41" s="30">
        <f t="shared" ref="DN41" si="815">DN42+DN49+DN52</f>
        <v>110036.64536344077</v>
      </c>
      <c r="DO41" s="30">
        <f t="shared" ref="DO41" si="816">DO42+DO49+DO52</f>
        <v>110036.64536344077</v>
      </c>
      <c r="DP41" s="30">
        <f t="shared" ref="DP41" si="817">DP42+DP49+DP52</f>
        <v>110036.64536344077</v>
      </c>
      <c r="DQ41" s="30">
        <f t="shared" ref="DQ41" si="818">DQ42+DQ49+DQ52</f>
        <v>110036.64536344077</v>
      </c>
      <c r="DR41" s="30">
        <f t="shared" ref="DR41" si="819">DR42+DR49+DR52</f>
        <v>110036.64536344077</v>
      </c>
      <c r="DS41" s="30">
        <f t="shared" ref="DS41" si="820">DS42+DS49+DS52</f>
        <v>110036.64536344077</v>
      </c>
      <c r="DT41" s="30">
        <f t="shared" ref="DT41" si="821">DT42+DT49+DT52</f>
        <v>110036.64536344077</v>
      </c>
      <c r="DU41" s="30">
        <f t="shared" ref="DU41" si="822">DU42+DU49+DU52</f>
        <v>110036.64536344077</v>
      </c>
      <c r="DV41" s="30">
        <f t="shared" si="160"/>
        <v>1320439.7443612891</v>
      </c>
      <c r="DW41" s="38"/>
      <c r="DX41" s="30">
        <f>DX42+DX49+DX52</f>
        <v>117874.68628938872</v>
      </c>
      <c r="DY41" s="30">
        <f t="shared" ref="DY41" si="823">DY42+DY49+DY52</f>
        <v>117874.68628938872</v>
      </c>
      <c r="DZ41" s="30">
        <f t="shared" ref="DZ41" si="824">DZ42+DZ49+DZ52</f>
        <v>117874.68628938872</v>
      </c>
      <c r="EA41" s="30">
        <f t="shared" ref="EA41" si="825">EA42+EA49+EA52</f>
        <v>117874.68628938872</v>
      </c>
      <c r="EB41" s="30">
        <f t="shared" ref="EB41" si="826">EB42+EB49+EB52</f>
        <v>117874.68628938872</v>
      </c>
      <c r="EC41" s="30">
        <f t="shared" ref="EC41" si="827">EC42+EC49+EC52</f>
        <v>117874.68628938872</v>
      </c>
      <c r="ED41" s="30">
        <f t="shared" ref="ED41" si="828">ED42+ED49+ED52</f>
        <v>117874.68628938872</v>
      </c>
      <c r="EE41" s="30">
        <f t="shared" ref="EE41" si="829">EE42+EE49+EE52</f>
        <v>117874.68628938872</v>
      </c>
      <c r="EF41" s="30">
        <f t="shared" ref="EF41" si="830">EF42+EF49+EF52</f>
        <v>117874.68628938872</v>
      </c>
      <c r="EG41" s="30">
        <f t="shared" ref="EG41" si="831">EG42+EG49+EG52</f>
        <v>117874.68628938872</v>
      </c>
      <c r="EH41" s="30">
        <f t="shared" ref="EH41" si="832">EH42+EH49+EH52</f>
        <v>117874.68628938872</v>
      </c>
      <c r="EI41" s="30">
        <f t="shared" ref="EI41" si="833">EI42+EI49+EI52</f>
        <v>117874.68628938872</v>
      </c>
      <c r="EJ41" s="30">
        <f t="shared" si="162"/>
        <v>1414496.2354726645</v>
      </c>
    </row>
    <row r="42" spans="1:140">
      <c r="A42" s="18" t="s">
        <v>242</v>
      </c>
      <c r="B42" s="30">
        <f>SUM(B43:B48)</f>
        <v>38900</v>
      </c>
      <c r="C42" s="30">
        <f t="shared" ref="C42:M42" si="834">SUM(C43:C48)</f>
        <v>38900</v>
      </c>
      <c r="D42" s="30">
        <f t="shared" si="834"/>
        <v>38900</v>
      </c>
      <c r="E42" s="30">
        <f t="shared" si="834"/>
        <v>38900</v>
      </c>
      <c r="F42" s="30">
        <f t="shared" si="834"/>
        <v>38900</v>
      </c>
      <c r="G42" s="30">
        <f t="shared" si="834"/>
        <v>38900</v>
      </c>
      <c r="H42" s="30">
        <f t="shared" si="834"/>
        <v>38900</v>
      </c>
      <c r="I42" s="30">
        <f t="shared" si="834"/>
        <v>38900</v>
      </c>
      <c r="J42" s="30">
        <f t="shared" si="834"/>
        <v>38900</v>
      </c>
      <c r="K42" s="30">
        <f t="shared" si="834"/>
        <v>38900</v>
      </c>
      <c r="L42" s="30">
        <f t="shared" si="834"/>
        <v>38900</v>
      </c>
      <c r="M42" s="30">
        <f t="shared" si="834"/>
        <v>38900</v>
      </c>
      <c r="N42" s="30">
        <f t="shared" si="144"/>
        <v>466800</v>
      </c>
      <c r="O42" s="38"/>
      <c r="P42" s="30">
        <f>SUM(P43:P48)</f>
        <v>41623</v>
      </c>
      <c r="Q42" s="30">
        <f t="shared" ref="Q42" si="835">SUM(Q43:Q48)</f>
        <v>41623</v>
      </c>
      <c r="R42" s="30">
        <f t="shared" ref="R42" si="836">SUM(R43:R48)</f>
        <v>41623</v>
      </c>
      <c r="S42" s="30">
        <f t="shared" ref="S42" si="837">SUM(S43:S48)</f>
        <v>41623</v>
      </c>
      <c r="T42" s="30">
        <f t="shared" ref="T42" si="838">SUM(T43:T48)</f>
        <v>41623</v>
      </c>
      <c r="U42" s="30">
        <f t="shared" ref="U42" si="839">SUM(U43:U48)</f>
        <v>41623</v>
      </c>
      <c r="V42" s="30">
        <f t="shared" ref="V42" si="840">SUM(V43:V48)</f>
        <v>41623</v>
      </c>
      <c r="W42" s="30">
        <f t="shared" ref="W42" si="841">SUM(W43:W48)</f>
        <v>41623</v>
      </c>
      <c r="X42" s="30">
        <f t="shared" ref="X42" si="842">SUM(X43:X48)</f>
        <v>41623</v>
      </c>
      <c r="Y42" s="30">
        <f t="shared" ref="Y42" si="843">SUM(Y43:Y48)</f>
        <v>41623</v>
      </c>
      <c r="Z42" s="30">
        <f t="shared" ref="Z42" si="844">SUM(Z43:Z48)</f>
        <v>41623</v>
      </c>
      <c r="AA42" s="30">
        <f t="shared" ref="AA42" si="845">SUM(AA43:AA48)</f>
        <v>41623</v>
      </c>
      <c r="AB42" s="30">
        <f t="shared" si="146"/>
        <v>499476</v>
      </c>
      <c r="AC42" s="38"/>
      <c r="AD42" s="30">
        <f>SUM(AD43:AD48)</f>
        <v>44120.38</v>
      </c>
      <c r="AE42" s="30">
        <f t="shared" ref="AE42" si="846">SUM(AE43:AE48)</f>
        <v>44120.38</v>
      </c>
      <c r="AF42" s="30">
        <f t="shared" ref="AF42" si="847">SUM(AF43:AF48)</f>
        <v>44120.38</v>
      </c>
      <c r="AG42" s="30">
        <f t="shared" ref="AG42" si="848">SUM(AG43:AG48)</f>
        <v>44120.38</v>
      </c>
      <c r="AH42" s="30">
        <f t="shared" ref="AH42" si="849">SUM(AH43:AH48)</f>
        <v>44120.38</v>
      </c>
      <c r="AI42" s="30">
        <f t="shared" ref="AI42" si="850">SUM(AI43:AI48)</f>
        <v>44120.38</v>
      </c>
      <c r="AJ42" s="30">
        <f t="shared" ref="AJ42" si="851">SUM(AJ43:AJ48)</f>
        <v>44120.38</v>
      </c>
      <c r="AK42" s="30">
        <f t="shared" ref="AK42" si="852">SUM(AK43:AK48)</f>
        <v>44120.38</v>
      </c>
      <c r="AL42" s="30">
        <f t="shared" ref="AL42" si="853">SUM(AL43:AL48)</f>
        <v>44120.38</v>
      </c>
      <c r="AM42" s="30">
        <f t="shared" ref="AM42" si="854">SUM(AM43:AM48)</f>
        <v>44120.38</v>
      </c>
      <c r="AN42" s="30">
        <f t="shared" ref="AN42" si="855">SUM(AN43:AN48)</f>
        <v>44120.38</v>
      </c>
      <c r="AO42" s="30">
        <f t="shared" ref="AO42" si="856">SUM(AO43:AO48)</f>
        <v>44120.38</v>
      </c>
      <c r="AP42" s="30">
        <f t="shared" si="148"/>
        <v>529444.55999999994</v>
      </c>
      <c r="AQ42" s="38"/>
      <c r="AR42" s="30">
        <f>SUM(AR43:AR48)</f>
        <v>46767.602800000001</v>
      </c>
      <c r="AS42" s="30">
        <f t="shared" ref="AS42" si="857">SUM(AS43:AS48)</f>
        <v>46767.602800000001</v>
      </c>
      <c r="AT42" s="30">
        <f t="shared" ref="AT42" si="858">SUM(AT43:AT48)</f>
        <v>46767.602800000001</v>
      </c>
      <c r="AU42" s="30">
        <f t="shared" ref="AU42" si="859">SUM(AU43:AU48)</f>
        <v>46767.602800000001</v>
      </c>
      <c r="AV42" s="30">
        <f t="shared" ref="AV42" si="860">SUM(AV43:AV48)</f>
        <v>46767.602800000001</v>
      </c>
      <c r="AW42" s="30">
        <f t="shared" ref="AW42" si="861">SUM(AW43:AW48)</f>
        <v>46767.602800000001</v>
      </c>
      <c r="AX42" s="30">
        <f t="shared" ref="AX42" si="862">SUM(AX43:AX48)</f>
        <v>46767.602800000001</v>
      </c>
      <c r="AY42" s="30">
        <f t="shared" ref="AY42" si="863">SUM(AY43:AY48)</f>
        <v>46767.602800000001</v>
      </c>
      <c r="AZ42" s="30">
        <f t="shared" ref="AZ42" si="864">SUM(AZ43:AZ48)</f>
        <v>46767.602800000001</v>
      </c>
      <c r="BA42" s="30">
        <f t="shared" ref="BA42" si="865">SUM(BA43:BA48)</f>
        <v>46767.602800000001</v>
      </c>
      <c r="BB42" s="30">
        <f t="shared" ref="BB42" si="866">SUM(BB43:BB48)</f>
        <v>46767.602800000001</v>
      </c>
      <c r="BC42" s="30">
        <f t="shared" ref="BC42" si="867">SUM(BC43:BC48)</f>
        <v>46767.602800000001</v>
      </c>
      <c r="BD42" s="30">
        <f t="shared" si="150"/>
        <v>561211.23360000004</v>
      </c>
      <c r="BE42" s="38"/>
      <c r="BF42" s="30">
        <f>SUM(BF43:BF48)</f>
        <v>49573.658968000018</v>
      </c>
      <c r="BG42" s="30">
        <f t="shared" ref="BG42" si="868">SUM(BG43:BG48)</f>
        <v>49573.658968000018</v>
      </c>
      <c r="BH42" s="30">
        <f t="shared" ref="BH42" si="869">SUM(BH43:BH48)</f>
        <v>49573.658968000018</v>
      </c>
      <c r="BI42" s="30">
        <f t="shared" ref="BI42" si="870">SUM(BI43:BI48)</f>
        <v>49573.658968000018</v>
      </c>
      <c r="BJ42" s="30">
        <f t="shared" ref="BJ42" si="871">SUM(BJ43:BJ48)</f>
        <v>49573.658968000018</v>
      </c>
      <c r="BK42" s="30">
        <f t="shared" ref="BK42" si="872">SUM(BK43:BK48)</f>
        <v>49573.658968000018</v>
      </c>
      <c r="BL42" s="30">
        <f t="shared" ref="BL42" si="873">SUM(BL43:BL48)</f>
        <v>49573.658968000018</v>
      </c>
      <c r="BM42" s="30">
        <f t="shared" ref="BM42" si="874">SUM(BM43:BM48)</f>
        <v>49573.658968000018</v>
      </c>
      <c r="BN42" s="30">
        <f t="shared" ref="BN42" si="875">SUM(BN43:BN48)</f>
        <v>49573.658968000018</v>
      </c>
      <c r="BO42" s="30">
        <f t="shared" ref="BO42" si="876">SUM(BO43:BO48)</f>
        <v>49573.658968000018</v>
      </c>
      <c r="BP42" s="30">
        <f t="shared" ref="BP42" si="877">SUM(BP43:BP48)</f>
        <v>49573.658968000018</v>
      </c>
      <c r="BQ42" s="30">
        <f t="shared" ref="BQ42" si="878">SUM(BQ43:BQ48)</f>
        <v>49573.658968000018</v>
      </c>
      <c r="BR42" s="30">
        <f t="shared" si="152"/>
        <v>594883.90761600027</v>
      </c>
      <c r="BS42" s="38"/>
      <c r="BT42" s="30">
        <f>SUM(BT43:BT48)</f>
        <v>52548.078506080019</v>
      </c>
      <c r="BU42" s="30">
        <f t="shared" ref="BU42" si="879">SUM(BU43:BU48)</f>
        <v>52548.078506080019</v>
      </c>
      <c r="BV42" s="30">
        <f t="shared" ref="BV42" si="880">SUM(BV43:BV48)</f>
        <v>52548.078506080019</v>
      </c>
      <c r="BW42" s="30">
        <f t="shared" ref="BW42" si="881">SUM(BW43:BW48)</f>
        <v>52548.078506080019</v>
      </c>
      <c r="BX42" s="30">
        <f t="shared" ref="BX42" si="882">SUM(BX43:BX48)</f>
        <v>52548.078506080019</v>
      </c>
      <c r="BY42" s="30">
        <f t="shared" ref="BY42" si="883">SUM(BY43:BY48)</f>
        <v>52548.078506080019</v>
      </c>
      <c r="BZ42" s="30">
        <f t="shared" ref="BZ42" si="884">SUM(BZ43:BZ48)</f>
        <v>52548.078506080019</v>
      </c>
      <c r="CA42" s="30">
        <f t="shared" ref="CA42" si="885">SUM(CA43:CA48)</f>
        <v>52548.078506080019</v>
      </c>
      <c r="CB42" s="30">
        <f t="shared" ref="CB42" si="886">SUM(CB43:CB48)</f>
        <v>52548.078506080019</v>
      </c>
      <c r="CC42" s="30">
        <f t="shared" ref="CC42" si="887">SUM(CC43:CC48)</f>
        <v>52548.078506080019</v>
      </c>
      <c r="CD42" s="30">
        <f t="shared" ref="CD42" si="888">SUM(CD43:CD48)</f>
        <v>52548.078506080019</v>
      </c>
      <c r="CE42" s="30">
        <f t="shared" ref="CE42" si="889">SUM(CE43:CE48)</f>
        <v>52548.078506080019</v>
      </c>
      <c r="CF42" s="30">
        <f t="shared" si="154"/>
        <v>630576.94207296008</v>
      </c>
      <c r="CG42" s="38"/>
      <c r="CH42" s="30">
        <f>SUM(CH43:CH48)</f>
        <v>55700.963216444827</v>
      </c>
      <c r="CI42" s="30">
        <f t="shared" ref="CI42" si="890">SUM(CI43:CI48)</f>
        <v>55700.963216444827</v>
      </c>
      <c r="CJ42" s="30">
        <f t="shared" ref="CJ42" si="891">SUM(CJ43:CJ48)</f>
        <v>55700.963216444827</v>
      </c>
      <c r="CK42" s="30">
        <f t="shared" ref="CK42" si="892">SUM(CK43:CK48)</f>
        <v>55700.963216444827</v>
      </c>
      <c r="CL42" s="30">
        <f t="shared" ref="CL42" si="893">SUM(CL43:CL48)</f>
        <v>55700.963216444827</v>
      </c>
      <c r="CM42" s="30">
        <f t="shared" ref="CM42" si="894">SUM(CM43:CM48)</f>
        <v>55700.963216444827</v>
      </c>
      <c r="CN42" s="30">
        <f t="shared" ref="CN42" si="895">SUM(CN43:CN48)</f>
        <v>55700.963216444827</v>
      </c>
      <c r="CO42" s="30">
        <f t="shared" ref="CO42" si="896">SUM(CO43:CO48)</f>
        <v>55700.963216444827</v>
      </c>
      <c r="CP42" s="30">
        <f t="shared" ref="CP42" si="897">SUM(CP43:CP48)</f>
        <v>55700.963216444827</v>
      </c>
      <c r="CQ42" s="30">
        <f t="shared" ref="CQ42" si="898">SUM(CQ43:CQ48)</f>
        <v>55700.963216444827</v>
      </c>
      <c r="CR42" s="30">
        <f t="shared" ref="CR42" si="899">SUM(CR43:CR48)</f>
        <v>55700.963216444827</v>
      </c>
      <c r="CS42" s="30">
        <f t="shared" ref="CS42" si="900">SUM(CS43:CS48)</f>
        <v>55700.963216444827</v>
      </c>
      <c r="CT42" s="30">
        <f t="shared" si="156"/>
        <v>668411.55859733792</v>
      </c>
      <c r="CU42" s="38"/>
      <c r="CV42" s="30">
        <f>SUM(CV43:CV48)</f>
        <v>59043.021009431512</v>
      </c>
      <c r="CW42" s="30">
        <f t="shared" ref="CW42" si="901">SUM(CW43:CW48)</f>
        <v>59043.021009431512</v>
      </c>
      <c r="CX42" s="30">
        <f t="shared" ref="CX42" si="902">SUM(CX43:CX48)</f>
        <v>59043.021009431512</v>
      </c>
      <c r="CY42" s="30">
        <f t="shared" ref="CY42" si="903">SUM(CY43:CY48)</f>
        <v>59043.021009431512</v>
      </c>
      <c r="CZ42" s="30">
        <f t="shared" ref="CZ42" si="904">SUM(CZ43:CZ48)</f>
        <v>59043.021009431512</v>
      </c>
      <c r="DA42" s="30">
        <f t="shared" ref="DA42" si="905">SUM(DA43:DA48)</f>
        <v>59043.021009431512</v>
      </c>
      <c r="DB42" s="30">
        <f t="shared" ref="DB42" si="906">SUM(DB43:DB48)</f>
        <v>59043.021009431512</v>
      </c>
      <c r="DC42" s="30">
        <f t="shared" ref="DC42" si="907">SUM(DC43:DC48)</f>
        <v>59043.021009431512</v>
      </c>
      <c r="DD42" s="30">
        <f t="shared" ref="DD42" si="908">SUM(DD43:DD48)</f>
        <v>59043.021009431512</v>
      </c>
      <c r="DE42" s="30">
        <f t="shared" ref="DE42" si="909">SUM(DE43:DE48)</f>
        <v>59043.021009431512</v>
      </c>
      <c r="DF42" s="30">
        <f t="shared" ref="DF42" si="910">SUM(DF43:DF48)</f>
        <v>59043.021009431512</v>
      </c>
      <c r="DG42" s="30">
        <f t="shared" ref="DG42" si="911">SUM(DG43:DG48)</f>
        <v>59043.021009431512</v>
      </c>
      <c r="DH42" s="30">
        <f t="shared" si="158"/>
        <v>708516.25211317791</v>
      </c>
      <c r="DI42" s="38"/>
      <c r="DJ42" s="30">
        <f>SUM(DJ43:DJ48)</f>
        <v>62585.602269997406</v>
      </c>
      <c r="DK42" s="30">
        <f t="shared" ref="DK42" si="912">SUM(DK43:DK48)</f>
        <v>62585.602269997406</v>
      </c>
      <c r="DL42" s="30">
        <f t="shared" ref="DL42" si="913">SUM(DL43:DL48)</f>
        <v>62585.602269997406</v>
      </c>
      <c r="DM42" s="30">
        <f t="shared" ref="DM42" si="914">SUM(DM43:DM48)</f>
        <v>62585.602269997406</v>
      </c>
      <c r="DN42" s="30">
        <f t="shared" ref="DN42" si="915">SUM(DN43:DN48)</f>
        <v>62585.602269997406</v>
      </c>
      <c r="DO42" s="30">
        <f t="shared" ref="DO42" si="916">SUM(DO43:DO48)</f>
        <v>62585.602269997406</v>
      </c>
      <c r="DP42" s="30">
        <f t="shared" ref="DP42" si="917">SUM(DP43:DP48)</f>
        <v>62585.602269997406</v>
      </c>
      <c r="DQ42" s="30">
        <f t="shared" ref="DQ42" si="918">SUM(DQ43:DQ48)</f>
        <v>62585.602269997406</v>
      </c>
      <c r="DR42" s="30">
        <f t="shared" ref="DR42" si="919">SUM(DR43:DR48)</f>
        <v>62585.602269997406</v>
      </c>
      <c r="DS42" s="30">
        <f t="shared" ref="DS42" si="920">SUM(DS43:DS48)</f>
        <v>62585.602269997406</v>
      </c>
      <c r="DT42" s="30">
        <f t="shared" ref="DT42" si="921">SUM(DT43:DT48)</f>
        <v>62585.602269997406</v>
      </c>
      <c r="DU42" s="30">
        <f t="shared" ref="DU42" si="922">SUM(DU43:DU48)</f>
        <v>62585.602269997406</v>
      </c>
      <c r="DV42" s="30">
        <f t="shared" si="160"/>
        <v>751027.22723996872</v>
      </c>
      <c r="DW42" s="38"/>
      <c r="DX42" s="30">
        <f>SUM(DX43:DX48)</f>
        <v>66340.738406197255</v>
      </c>
      <c r="DY42" s="30">
        <f t="shared" ref="DY42" si="923">SUM(DY43:DY48)</f>
        <v>66340.738406197255</v>
      </c>
      <c r="DZ42" s="30">
        <f t="shared" ref="DZ42" si="924">SUM(DZ43:DZ48)</f>
        <v>66340.738406197255</v>
      </c>
      <c r="EA42" s="30">
        <f t="shared" ref="EA42" si="925">SUM(EA43:EA48)</f>
        <v>66340.738406197255</v>
      </c>
      <c r="EB42" s="30">
        <f t="shared" ref="EB42" si="926">SUM(EB43:EB48)</f>
        <v>66340.738406197255</v>
      </c>
      <c r="EC42" s="30">
        <f t="shared" ref="EC42" si="927">SUM(EC43:EC48)</f>
        <v>66340.738406197255</v>
      </c>
      <c r="ED42" s="30">
        <f t="shared" ref="ED42" si="928">SUM(ED43:ED48)</f>
        <v>66340.738406197255</v>
      </c>
      <c r="EE42" s="30">
        <f t="shared" ref="EE42" si="929">SUM(EE43:EE48)</f>
        <v>66340.738406197255</v>
      </c>
      <c r="EF42" s="30">
        <f t="shared" ref="EF42" si="930">SUM(EF43:EF48)</f>
        <v>66340.738406197255</v>
      </c>
      <c r="EG42" s="30">
        <f t="shared" ref="EG42" si="931">SUM(EG43:EG48)</f>
        <v>66340.738406197255</v>
      </c>
      <c r="EH42" s="30">
        <f t="shared" ref="EH42" si="932">SUM(EH43:EH48)</f>
        <v>66340.738406197255</v>
      </c>
      <c r="EI42" s="30">
        <f t="shared" ref="EI42" si="933">SUM(EI43:EI48)</f>
        <v>66340.738406197255</v>
      </c>
      <c r="EJ42" s="30">
        <f t="shared" si="162"/>
        <v>796088.8608743673</v>
      </c>
    </row>
    <row r="43" spans="1:140">
      <c r="A43" s="8" t="s">
        <v>243</v>
      </c>
      <c r="B43" s="22">
        <v>16000</v>
      </c>
      <c r="C43" s="22">
        <f>B43</f>
        <v>16000</v>
      </c>
      <c r="D43" s="22">
        <f t="shared" ref="D43:M43" si="934">C43</f>
        <v>16000</v>
      </c>
      <c r="E43" s="22">
        <f t="shared" si="934"/>
        <v>16000</v>
      </c>
      <c r="F43" s="22">
        <f t="shared" si="934"/>
        <v>16000</v>
      </c>
      <c r="G43" s="22">
        <f t="shared" si="934"/>
        <v>16000</v>
      </c>
      <c r="H43" s="22">
        <f t="shared" si="934"/>
        <v>16000</v>
      </c>
      <c r="I43" s="22">
        <f t="shared" si="934"/>
        <v>16000</v>
      </c>
      <c r="J43" s="22">
        <f t="shared" si="934"/>
        <v>16000</v>
      </c>
      <c r="K43" s="22">
        <f t="shared" si="934"/>
        <v>16000</v>
      </c>
      <c r="L43" s="22">
        <f t="shared" si="934"/>
        <v>16000</v>
      </c>
      <c r="M43" s="22">
        <f t="shared" si="934"/>
        <v>16000</v>
      </c>
      <c r="N43" s="30">
        <f t="shared" si="144"/>
        <v>192000</v>
      </c>
      <c r="O43" s="38">
        <v>1</v>
      </c>
      <c r="P43" s="22">
        <f t="shared" ref="P43:P48" si="935">$O43*B43*(1+$P$4)</f>
        <v>17120</v>
      </c>
      <c r="Q43" s="22">
        <f t="shared" ref="Q43:Q48" si="936">$O43*C43*(1+$P$4)</f>
        <v>17120</v>
      </c>
      <c r="R43" s="22">
        <f t="shared" ref="R43:R48" si="937">$O43*D43*(1+$P$4)</f>
        <v>17120</v>
      </c>
      <c r="S43" s="22">
        <f t="shared" ref="S43:S48" si="938">$O43*E43*(1+$P$4)</f>
        <v>17120</v>
      </c>
      <c r="T43" s="22">
        <f t="shared" ref="T43:T48" si="939">$O43*F43*(1+$P$4)</f>
        <v>17120</v>
      </c>
      <c r="U43" s="22">
        <f t="shared" ref="U43:U48" si="940">$O43*G43*(1+$P$4)</f>
        <v>17120</v>
      </c>
      <c r="V43" s="22">
        <f t="shared" ref="V43:V48" si="941">$O43*H43*(1+$P$4)</f>
        <v>17120</v>
      </c>
      <c r="W43" s="22">
        <f t="shared" ref="W43:W48" si="942">$O43*I43*(1+$P$4)</f>
        <v>17120</v>
      </c>
      <c r="X43" s="22">
        <f t="shared" ref="X43:X48" si="943">$O43*J43*(1+$P$4)</f>
        <v>17120</v>
      </c>
      <c r="Y43" s="22">
        <f t="shared" ref="Y43:Y48" si="944">$O43*K43*(1+$P$4)</f>
        <v>17120</v>
      </c>
      <c r="Z43" s="22">
        <f t="shared" ref="Z43:Z48" si="945">$O43*L43*(1+$P$4)</f>
        <v>17120</v>
      </c>
      <c r="AA43" s="22">
        <f t="shared" ref="AA43:AA48" si="946">$O43*M43*(1+$P$4)</f>
        <v>17120</v>
      </c>
      <c r="AB43" s="30">
        <f t="shared" si="146"/>
        <v>205440</v>
      </c>
      <c r="AC43" s="38">
        <v>1</v>
      </c>
      <c r="AD43" s="22">
        <f t="shared" ref="AD43:AD48" si="947">$AC43*P43*(1+$AD$4)</f>
        <v>18147.2</v>
      </c>
      <c r="AE43" s="22">
        <f t="shared" ref="AE43:AE48" si="948">$AC43*Q43*(1+$AD$4)</f>
        <v>18147.2</v>
      </c>
      <c r="AF43" s="22">
        <f t="shared" ref="AF43:AF48" si="949">$AC43*R43*(1+$AD$4)</f>
        <v>18147.2</v>
      </c>
      <c r="AG43" s="22">
        <f t="shared" ref="AG43:AG48" si="950">$AC43*S43*(1+$AD$4)</f>
        <v>18147.2</v>
      </c>
      <c r="AH43" s="22">
        <f t="shared" ref="AH43:AH48" si="951">$AC43*T43*(1+$AD$4)</f>
        <v>18147.2</v>
      </c>
      <c r="AI43" s="22">
        <f t="shared" ref="AI43:AI48" si="952">$AC43*U43*(1+$AD$4)</f>
        <v>18147.2</v>
      </c>
      <c r="AJ43" s="22">
        <f t="shared" ref="AJ43:AJ48" si="953">$AC43*V43*(1+$AD$4)</f>
        <v>18147.2</v>
      </c>
      <c r="AK43" s="22">
        <f t="shared" ref="AK43:AK48" si="954">$AC43*W43*(1+$AD$4)</f>
        <v>18147.2</v>
      </c>
      <c r="AL43" s="22">
        <f t="shared" ref="AL43:AL48" si="955">$AC43*X43*(1+$AD$4)</f>
        <v>18147.2</v>
      </c>
      <c r="AM43" s="22">
        <f t="shared" ref="AM43:AM48" si="956">$AC43*Y43*(1+$AD$4)</f>
        <v>18147.2</v>
      </c>
      <c r="AN43" s="22">
        <f t="shared" ref="AN43:AN48" si="957">$AC43*Z43*(1+$AD$4)</f>
        <v>18147.2</v>
      </c>
      <c r="AO43" s="22">
        <f t="shared" ref="AO43:AO48" si="958">$AC43*AA43*(1+$AD$4)</f>
        <v>18147.2</v>
      </c>
      <c r="AP43" s="30">
        <f t="shared" si="148"/>
        <v>217766.40000000005</v>
      </c>
      <c r="AQ43" s="38">
        <v>1</v>
      </c>
      <c r="AR43" s="22">
        <f t="shared" ref="AR43:AR48" si="959">$AQ43*AD43*(1+$AR$4)</f>
        <v>19236.032000000003</v>
      </c>
      <c r="AS43" s="22">
        <f t="shared" ref="AS43:AS48" si="960">$AQ43*AE43*(1+$AR$4)</f>
        <v>19236.032000000003</v>
      </c>
      <c r="AT43" s="22">
        <f t="shared" ref="AT43:AT48" si="961">$AQ43*AF43*(1+$AR$4)</f>
        <v>19236.032000000003</v>
      </c>
      <c r="AU43" s="22">
        <f t="shared" ref="AU43:AU48" si="962">$AQ43*AG43*(1+$AR$4)</f>
        <v>19236.032000000003</v>
      </c>
      <c r="AV43" s="22">
        <f t="shared" ref="AV43:AV48" si="963">$AQ43*AH43*(1+$AR$4)</f>
        <v>19236.032000000003</v>
      </c>
      <c r="AW43" s="22">
        <f t="shared" ref="AW43:AW48" si="964">$AQ43*AI43*(1+$AR$4)</f>
        <v>19236.032000000003</v>
      </c>
      <c r="AX43" s="22">
        <f t="shared" ref="AX43:AX48" si="965">$AQ43*AJ43*(1+$AR$4)</f>
        <v>19236.032000000003</v>
      </c>
      <c r="AY43" s="22">
        <f t="shared" ref="AY43:AY48" si="966">$AQ43*AK43*(1+$AR$4)</f>
        <v>19236.032000000003</v>
      </c>
      <c r="AZ43" s="22">
        <f t="shared" ref="AZ43:AZ48" si="967">$AQ43*AL43*(1+$AR$4)</f>
        <v>19236.032000000003</v>
      </c>
      <c r="BA43" s="22">
        <f t="shared" ref="BA43:BA48" si="968">$AQ43*AM43*(1+$AR$4)</f>
        <v>19236.032000000003</v>
      </c>
      <c r="BB43" s="22">
        <f t="shared" ref="BB43:BB48" si="969">$AQ43*AN43*(1+$AR$4)</f>
        <v>19236.032000000003</v>
      </c>
      <c r="BC43" s="22">
        <f t="shared" ref="BC43:BC48" si="970">$AQ43*AO43*(1+$AR$4)</f>
        <v>19236.032000000003</v>
      </c>
      <c r="BD43" s="30">
        <f t="shared" si="150"/>
        <v>230832.38400000005</v>
      </c>
      <c r="BE43" s="38">
        <v>1</v>
      </c>
      <c r="BF43" s="22">
        <f t="shared" ref="BF43:BF48" si="971">$BE43*AR43*(1+$BF$4)</f>
        <v>20390.193920000005</v>
      </c>
      <c r="BG43" s="22">
        <f t="shared" ref="BG43:BG48" si="972">$BE43*AS43*(1+$BF$4)</f>
        <v>20390.193920000005</v>
      </c>
      <c r="BH43" s="22">
        <f t="shared" ref="BH43:BH48" si="973">$BE43*AT43*(1+$BF$4)</f>
        <v>20390.193920000005</v>
      </c>
      <c r="BI43" s="22">
        <f t="shared" ref="BI43:BI48" si="974">$BE43*AU43*(1+$BF$4)</f>
        <v>20390.193920000005</v>
      </c>
      <c r="BJ43" s="22">
        <f t="shared" ref="BJ43:BJ48" si="975">$BE43*AV43*(1+$BF$4)</f>
        <v>20390.193920000005</v>
      </c>
      <c r="BK43" s="22">
        <f t="shared" ref="BK43:BK48" si="976">$BE43*AW43*(1+$BF$4)</f>
        <v>20390.193920000005</v>
      </c>
      <c r="BL43" s="22">
        <f t="shared" ref="BL43:BL48" si="977">$BE43*AX43*(1+$BF$4)</f>
        <v>20390.193920000005</v>
      </c>
      <c r="BM43" s="22">
        <f t="shared" ref="BM43:BM48" si="978">$BE43*AY43*(1+$BF$4)</f>
        <v>20390.193920000005</v>
      </c>
      <c r="BN43" s="22">
        <f t="shared" ref="BN43:BN48" si="979">$BE43*AZ43*(1+$BF$4)</f>
        <v>20390.193920000005</v>
      </c>
      <c r="BO43" s="22">
        <f t="shared" ref="BO43:BO48" si="980">$BE43*BA43*(1+$BF$4)</f>
        <v>20390.193920000005</v>
      </c>
      <c r="BP43" s="22">
        <f t="shared" ref="BP43:BP48" si="981">$BE43*BB43*(1+$BF$4)</f>
        <v>20390.193920000005</v>
      </c>
      <c r="BQ43" s="22">
        <f t="shared" ref="BQ43:BQ48" si="982">$BE43*BC43*(1+$BF$4)</f>
        <v>20390.193920000005</v>
      </c>
      <c r="BR43" s="30">
        <f t="shared" si="152"/>
        <v>244682.32704</v>
      </c>
      <c r="BS43" s="38">
        <v>1</v>
      </c>
      <c r="BT43" s="22">
        <f t="shared" ref="BT43:BT48" si="983">$BS43*BF43*(1+$BT$4)</f>
        <v>21613.605555200007</v>
      </c>
      <c r="BU43" s="22">
        <f t="shared" ref="BU43:BU48" si="984">$BS43*BG43*(1+$BT$4)</f>
        <v>21613.605555200007</v>
      </c>
      <c r="BV43" s="22">
        <f t="shared" ref="BV43:BV48" si="985">$BS43*BH43*(1+$BT$4)</f>
        <v>21613.605555200007</v>
      </c>
      <c r="BW43" s="22">
        <f t="shared" ref="BW43:BW48" si="986">$BS43*BI43*(1+$BT$4)</f>
        <v>21613.605555200007</v>
      </c>
      <c r="BX43" s="22">
        <f t="shared" ref="BX43:BX48" si="987">$BS43*BJ43*(1+$BT$4)</f>
        <v>21613.605555200007</v>
      </c>
      <c r="BY43" s="22">
        <f t="shared" ref="BY43:BY48" si="988">$BS43*BK43*(1+$BT$4)</f>
        <v>21613.605555200007</v>
      </c>
      <c r="BZ43" s="22">
        <f t="shared" ref="BZ43:BZ48" si="989">$BS43*BL43*(1+$BT$4)</f>
        <v>21613.605555200007</v>
      </c>
      <c r="CA43" s="22">
        <f t="shared" ref="CA43:CA48" si="990">$BS43*BM43*(1+$BT$4)</f>
        <v>21613.605555200007</v>
      </c>
      <c r="CB43" s="22">
        <f t="shared" ref="CB43:CB48" si="991">$BS43*BN43*(1+$BT$4)</f>
        <v>21613.605555200007</v>
      </c>
      <c r="CC43" s="22">
        <f t="shared" ref="CC43:CC48" si="992">$BS43*BO43*(1+$BT$4)</f>
        <v>21613.605555200007</v>
      </c>
      <c r="CD43" s="22">
        <f t="shared" ref="CD43:CD48" si="993">$BS43*BP43*(1+$BT$4)</f>
        <v>21613.605555200007</v>
      </c>
      <c r="CE43" s="22">
        <f t="shared" ref="CE43:CE48" si="994">$BS43*BQ43*(1+$BT$4)</f>
        <v>21613.605555200007</v>
      </c>
      <c r="CF43" s="30">
        <f t="shared" si="154"/>
        <v>259363.26666240013</v>
      </c>
      <c r="CG43" s="38">
        <v>1</v>
      </c>
      <c r="CH43" s="22">
        <f t="shared" ref="CH43:CH48" si="995">$CG43*BT43*(1+$CH$4)</f>
        <v>22910.42188851201</v>
      </c>
      <c r="CI43" s="22">
        <f t="shared" ref="CI43:CI48" si="996">$CG43*BU43*(1+$CH$4)</f>
        <v>22910.42188851201</v>
      </c>
      <c r="CJ43" s="22">
        <f t="shared" ref="CJ43:CJ48" si="997">$CG43*BV43*(1+$CH$4)</f>
        <v>22910.42188851201</v>
      </c>
      <c r="CK43" s="22">
        <f t="shared" ref="CK43:CK48" si="998">$CG43*BW43*(1+$CH$4)</f>
        <v>22910.42188851201</v>
      </c>
      <c r="CL43" s="22">
        <f t="shared" ref="CL43:CL48" si="999">$CG43*BX43*(1+$CH$4)</f>
        <v>22910.42188851201</v>
      </c>
      <c r="CM43" s="22">
        <f t="shared" ref="CM43:CM48" si="1000">$CG43*BY43*(1+$CH$4)</f>
        <v>22910.42188851201</v>
      </c>
      <c r="CN43" s="22">
        <f t="shared" ref="CN43:CN48" si="1001">$CG43*BZ43*(1+$CH$4)</f>
        <v>22910.42188851201</v>
      </c>
      <c r="CO43" s="22">
        <f t="shared" ref="CO43:CO48" si="1002">$CG43*CA43*(1+$CH$4)</f>
        <v>22910.42188851201</v>
      </c>
      <c r="CP43" s="22">
        <f t="shared" ref="CP43:CP48" si="1003">$CG43*CB43*(1+$CH$4)</f>
        <v>22910.42188851201</v>
      </c>
      <c r="CQ43" s="22">
        <f t="shared" ref="CQ43:CQ48" si="1004">$CG43*CC43*(1+$CH$4)</f>
        <v>22910.42188851201</v>
      </c>
      <c r="CR43" s="22">
        <f t="shared" ref="CR43:CR48" si="1005">$CG43*CD43*(1+$CH$4)</f>
        <v>22910.42188851201</v>
      </c>
      <c r="CS43" s="22">
        <f t="shared" ref="CS43:CS48" si="1006">$CG43*CE43*(1+$CH$4)</f>
        <v>22910.42188851201</v>
      </c>
      <c r="CT43" s="30">
        <f t="shared" si="156"/>
        <v>274925.06266214413</v>
      </c>
      <c r="CU43" s="38">
        <v>1</v>
      </c>
      <c r="CV43" s="22">
        <f t="shared" ref="CV43:CV48" si="1007">$CU43*CH43*(1+$CV$4)</f>
        <v>24285.04720182273</v>
      </c>
      <c r="CW43" s="22">
        <f t="shared" ref="CW43:CW48" si="1008">$CU43*CI43*(1+$CV$4)</f>
        <v>24285.04720182273</v>
      </c>
      <c r="CX43" s="22">
        <f t="shared" ref="CX43:CX48" si="1009">$CU43*CJ43*(1+$CV$4)</f>
        <v>24285.04720182273</v>
      </c>
      <c r="CY43" s="22">
        <f t="shared" ref="CY43:CY48" si="1010">$CU43*CK43*(1+$CV$4)</f>
        <v>24285.04720182273</v>
      </c>
      <c r="CZ43" s="22">
        <f t="shared" ref="CZ43:CZ48" si="1011">$CU43*CL43*(1+$CV$4)</f>
        <v>24285.04720182273</v>
      </c>
      <c r="DA43" s="22">
        <f t="shared" ref="DA43:DA48" si="1012">$CU43*CM43*(1+$CV$4)</f>
        <v>24285.04720182273</v>
      </c>
      <c r="DB43" s="22">
        <f t="shared" ref="DB43:DB48" si="1013">$CU43*CN43*(1+$CV$4)</f>
        <v>24285.04720182273</v>
      </c>
      <c r="DC43" s="22">
        <f t="shared" ref="DC43:DC48" si="1014">$CU43*CO43*(1+$CV$4)</f>
        <v>24285.04720182273</v>
      </c>
      <c r="DD43" s="22">
        <f t="shared" ref="DD43:DD48" si="1015">$CU43*CP43*(1+$CV$4)</f>
        <v>24285.04720182273</v>
      </c>
      <c r="DE43" s="22">
        <f t="shared" ref="DE43:DE48" si="1016">$CU43*CQ43*(1+$CV$4)</f>
        <v>24285.04720182273</v>
      </c>
      <c r="DF43" s="22">
        <f t="shared" ref="DF43:DF48" si="1017">$CU43*CR43*(1+$CV$4)</f>
        <v>24285.04720182273</v>
      </c>
      <c r="DG43" s="22">
        <f t="shared" ref="DG43:DG48" si="1018">$CU43*CS43*(1+$CV$4)</f>
        <v>24285.04720182273</v>
      </c>
      <c r="DH43" s="30">
        <f t="shared" si="158"/>
        <v>291420.56642187282</v>
      </c>
      <c r="DI43" s="38">
        <v>1</v>
      </c>
      <c r="DJ43" s="22">
        <f t="shared" ref="DJ43:DJ48" si="1019">$DI43*CV43*(1+$DJ$4)</f>
        <v>25742.150033932096</v>
      </c>
      <c r="DK43" s="22">
        <f t="shared" ref="DK43:DK48" si="1020">$DI43*CW43*(1+$DJ$4)</f>
        <v>25742.150033932096</v>
      </c>
      <c r="DL43" s="22">
        <f t="shared" ref="DL43:DL48" si="1021">$DI43*CX43*(1+$DJ$4)</f>
        <v>25742.150033932096</v>
      </c>
      <c r="DM43" s="22">
        <f t="shared" ref="DM43:DM48" si="1022">$DI43*CY43*(1+$DJ$4)</f>
        <v>25742.150033932096</v>
      </c>
      <c r="DN43" s="22">
        <f t="shared" ref="DN43:DN48" si="1023">$DI43*CZ43*(1+$DJ$4)</f>
        <v>25742.150033932096</v>
      </c>
      <c r="DO43" s="22">
        <f t="shared" ref="DO43:DO48" si="1024">$DI43*DA43*(1+$DJ$4)</f>
        <v>25742.150033932096</v>
      </c>
      <c r="DP43" s="22">
        <f t="shared" ref="DP43:DP48" si="1025">$DI43*DB43*(1+$DJ$4)</f>
        <v>25742.150033932096</v>
      </c>
      <c r="DQ43" s="22">
        <f t="shared" ref="DQ43:DQ48" si="1026">$DI43*DC43*(1+$DJ$4)</f>
        <v>25742.150033932096</v>
      </c>
      <c r="DR43" s="22">
        <f t="shared" ref="DR43:DR48" si="1027">$DI43*DD43*(1+$DJ$4)</f>
        <v>25742.150033932096</v>
      </c>
      <c r="DS43" s="22">
        <f t="shared" ref="DS43:DS48" si="1028">$DI43*DE43*(1+$DJ$4)</f>
        <v>25742.150033932096</v>
      </c>
      <c r="DT43" s="22">
        <f t="shared" ref="DT43:DT48" si="1029">$DI43*DF43*(1+$DJ$4)</f>
        <v>25742.150033932096</v>
      </c>
      <c r="DU43" s="22">
        <f t="shared" ref="DU43:DU48" si="1030">$DI43*DG43*(1+$DJ$4)</f>
        <v>25742.150033932096</v>
      </c>
      <c r="DV43" s="30">
        <f t="shared" si="160"/>
        <v>308905.80040718516</v>
      </c>
      <c r="DW43" s="38">
        <v>1</v>
      </c>
      <c r="DX43" s="22">
        <f t="shared" ref="DX43:DX48" si="1031">$DW43*DJ43*(1+$DX$4)</f>
        <v>27286.679035968024</v>
      </c>
      <c r="DY43" s="22">
        <f t="shared" ref="DY43:DY48" si="1032">$DW43*DK43*(1+$DX$4)</f>
        <v>27286.679035968024</v>
      </c>
      <c r="DZ43" s="22">
        <f t="shared" ref="DZ43:DZ48" si="1033">$DW43*DL43*(1+$DX$4)</f>
        <v>27286.679035968024</v>
      </c>
      <c r="EA43" s="22">
        <f t="shared" ref="EA43:EA48" si="1034">$DW43*DM43*(1+$DX$4)</f>
        <v>27286.679035968024</v>
      </c>
      <c r="EB43" s="22">
        <f t="shared" ref="EB43:EB48" si="1035">$DW43*DN43*(1+$DX$4)</f>
        <v>27286.679035968024</v>
      </c>
      <c r="EC43" s="22">
        <f t="shared" ref="EC43:EC48" si="1036">$DW43*DO43*(1+$DX$4)</f>
        <v>27286.679035968024</v>
      </c>
      <c r="ED43" s="22">
        <f t="shared" ref="ED43:ED48" si="1037">$DW43*DP43*(1+$DX$4)</f>
        <v>27286.679035968024</v>
      </c>
      <c r="EE43" s="22">
        <f t="shared" ref="EE43:EE48" si="1038">$DW43*DQ43*(1+$DX$4)</f>
        <v>27286.679035968024</v>
      </c>
      <c r="EF43" s="22">
        <f t="shared" ref="EF43:EF48" si="1039">$DW43*DR43*(1+$DX$4)</f>
        <v>27286.679035968024</v>
      </c>
      <c r="EG43" s="22">
        <f t="shared" ref="EG43:EG48" si="1040">$DW43*DS43*(1+$DX$4)</f>
        <v>27286.679035968024</v>
      </c>
      <c r="EH43" s="22">
        <f t="shared" ref="EH43:EH48" si="1041">$DW43*DT43*(1+$DX$4)</f>
        <v>27286.679035968024</v>
      </c>
      <c r="EI43" s="22">
        <f t="shared" ref="EI43:EI48" si="1042">$DW43*DU43*(1+$DX$4)</f>
        <v>27286.679035968024</v>
      </c>
      <c r="EJ43" s="30">
        <f t="shared" si="162"/>
        <v>327440.14843161631</v>
      </c>
    </row>
    <row r="44" spans="1:140">
      <c r="A44" s="8" t="s">
        <v>86</v>
      </c>
      <c r="B44" s="22">
        <v>12000</v>
      </c>
      <c r="C44" s="22">
        <f t="shared" ref="C44:M48" si="1043">B44</f>
        <v>12000</v>
      </c>
      <c r="D44" s="22">
        <f t="shared" si="1043"/>
        <v>12000</v>
      </c>
      <c r="E44" s="22">
        <f t="shared" si="1043"/>
        <v>12000</v>
      </c>
      <c r="F44" s="22">
        <f t="shared" si="1043"/>
        <v>12000</v>
      </c>
      <c r="G44" s="22">
        <f t="shared" si="1043"/>
        <v>12000</v>
      </c>
      <c r="H44" s="22">
        <f t="shared" si="1043"/>
        <v>12000</v>
      </c>
      <c r="I44" s="22">
        <f t="shared" si="1043"/>
        <v>12000</v>
      </c>
      <c r="J44" s="22">
        <f t="shared" si="1043"/>
        <v>12000</v>
      </c>
      <c r="K44" s="22">
        <f t="shared" si="1043"/>
        <v>12000</v>
      </c>
      <c r="L44" s="22">
        <f t="shared" si="1043"/>
        <v>12000</v>
      </c>
      <c r="M44" s="22">
        <f t="shared" si="1043"/>
        <v>12000</v>
      </c>
      <c r="N44" s="30">
        <f t="shared" si="144"/>
        <v>144000</v>
      </c>
      <c r="O44" s="38">
        <v>1</v>
      </c>
      <c r="P44" s="22">
        <f t="shared" si="935"/>
        <v>12840</v>
      </c>
      <c r="Q44" s="22">
        <f t="shared" si="936"/>
        <v>12840</v>
      </c>
      <c r="R44" s="22">
        <f t="shared" si="937"/>
        <v>12840</v>
      </c>
      <c r="S44" s="22">
        <f t="shared" si="938"/>
        <v>12840</v>
      </c>
      <c r="T44" s="22">
        <f t="shared" si="939"/>
        <v>12840</v>
      </c>
      <c r="U44" s="22">
        <f t="shared" si="940"/>
        <v>12840</v>
      </c>
      <c r="V44" s="22">
        <f t="shared" si="941"/>
        <v>12840</v>
      </c>
      <c r="W44" s="22">
        <f t="shared" si="942"/>
        <v>12840</v>
      </c>
      <c r="X44" s="22">
        <f t="shared" si="943"/>
        <v>12840</v>
      </c>
      <c r="Y44" s="22">
        <f t="shared" si="944"/>
        <v>12840</v>
      </c>
      <c r="Z44" s="22">
        <f t="shared" si="945"/>
        <v>12840</v>
      </c>
      <c r="AA44" s="22">
        <f t="shared" si="946"/>
        <v>12840</v>
      </c>
      <c r="AB44" s="30">
        <f t="shared" si="146"/>
        <v>154080</v>
      </c>
      <c r="AC44" s="38">
        <v>1</v>
      </c>
      <c r="AD44" s="22">
        <f t="shared" si="947"/>
        <v>13610.400000000001</v>
      </c>
      <c r="AE44" s="22">
        <f t="shared" si="948"/>
        <v>13610.400000000001</v>
      </c>
      <c r="AF44" s="22">
        <f t="shared" si="949"/>
        <v>13610.400000000001</v>
      </c>
      <c r="AG44" s="22">
        <f t="shared" si="950"/>
        <v>13610.400000000001</v>
      </c>
      <c r="AH44" s="22">
        <f t="shared" si="951"/>
        <v>13610.400000000001</v>
      </c>
      <c r="AI44" s="22">
        <f t="shared" si="952"/>
        <v>13610.400000000001</v>
      </c>
      <c r="AJ44" s="22">
        <f t="shared" si="953"/>
        <v>13610.400000000001</v>
      </c>
      <c r="AK44" s="22">
        <f t="shared" si="954"/>
        <v>13610.400000000001</v>
      </c>
      <c r="AL44" s="22">
        <f t="shared" si="955"/>
        <v>13610.400000000001</v>
      </c>
      <c r="AM44" s="22">
        <f t="shared" si="956"/>
        <v>13610.400000000001</v>
      </c>
      <c r="AN44" s="22">
        <f t="shared" si="957"/>
        <v>13610.400000000001</v>
      </c>
      <c r="AO44" s="22">
        <f t="shared" si="958"/>
        <v>13610.400000000001</v>
      </c>
      <c r="AP44" s="30">
        <f t="shared" si="148"/>
        <v>163324.79999999996</v>
      </c>
      <c r="AQ44" s="38">
        <v>1</v>
      </c>
      <c r="AR44" s="22">
        <f t="shared" si="959"/>
        <v>14427.024000000003</v>
      </c>
      <c r="AS44" s="22">
        <f t="shared" si="960"/>
        <v>14427.024000000003</v>
      </c>
      <c r="AT44" s="22">
        <f t="shared" si="961"/>
        <v>14427.024000000003</v>
      </c>
      <c r="AU44" s="22">
        <f t="shared" si="962"/>
        <v>14427.024000000003</v>
      </c>
      <c r="AV44" s="22">
        <f t="shared" si="963"/>
        <v>14427.024000000003</v>
      </c>
      <c r="AW44" s="22">
        <f t="shared" si="964"/>
        <v>14427.024000000003</v>
      </c>
      <c r="AX44" s="22">
        <f t="shared" si="965"/>
        <v>14427.024000000003</v>
      </c>
      <c r="AY44" s="22">
        <f t="shared" si="966"/>
        <v>14427.024000000003</v>
      </c>
      <c r="AZ44" s="22">
        <f t="shared" si="967"/>
        <v>14427.024000000003</v>
      </c>
      <c r="BA44" s="22">
        <f t="shared" si="968"/>
        <v>14427.024000000003</v>
      </c>
      <c r="BB44" s="22">
        <f t="shared" si="969"/>
        <v>14427.024000000003</v>
      </c>
      <c r="BC44" s="22">
        <f t="shared" si="970"/>
        <v>14427.024000000003</v>
      </c>
      <c r="BD44" s="30">
        <f t="shared" si="150"/>
        <v>173124.28800000003</v>
      </c>
      <c r="BE44" s="38">
        <v>1</v>
      </c>
      <c r="BF44" s="22">
        <f t="shared" si="971"/>
        <v>15292.645440000004</v>
      </c>
      <c r="BG44" s="22">
        <f t="shared" si="972"/>
        <v>15292.645440000004</v>
      </c>
      <c r="BH44" s="22">
        <f t="shared" si="973"/>
        <v>15292.645440000004</v>
      </c>
      <c r="BI44" s="22">
        <f t="shared" si="974"/>
        <v>15292.645440000004</v>
      </c>
      <c r="BJ44" s="22">
        <f t="shared" si="975"/>
        <v>15292.645440000004</v>
      </c>
      <c r="BK44" s="22">
        <f t="shared" si="976"/>
        <v>15292.645440000004</v>
      </c>
      <c r="BL44" s="22">
        <f t="shared" si="977"/>
        <v>15292.645440000004</v>
      </c>
      <c r="BM44" s="22">
        <f t="shared" si="978"/>
        <v>15292.645440000004</v>
      </c>
      <c r="BN44" s="22">
        <f t="shared" si="979"/>
        <v>15292.645440000004</v>
      </c>
      <c r="BO44" s="22">
        <f t="shared" si="980"/>
        <v>15292.645440000004</v>
      </c>
      <c r="BP44" s="22">
        <f t="shared" si="981"/>
        <v>15292.645440000004</v>
      </c>
      <c r="BQ44" s="22">
        <f t="shared" si="982"/>
        <v>15292.645440000004</v>
      </c>
      <c r="BR44" s="30">
        <f t="shared" si="152"/>
        <v>183511.74528000003</v>
      </c>
      <c r="BS44" s="38">
        <v>1</v>
      </c>
      <c r="BT44" s="22">
        <f t="shared" si="983"/>
        <v>16210.204166400004</v>
      </c>
      <c r="BU44" s="22">
        <f t="shared" si="984"/>
        <v>16210.204166400004</v>
      </c>
      <c r="BV44" s="22">
        <f t="shared" si="985"/>
        <v>16210.204166400004</v>
      </c>
      <c r="BW44" s="22">
        <f t="shared" si="986"/>
        <v>16210.204166400004</v>
      </c>
      <c r="BX44" s="22">
        <f t="shared" si="987"/>
        <v>16210.204166400004</v>
      </c>
      <c r="BY44" s="22">
        <f t="shared" si="988"/>
        <v>16210.204166400004</v>
      </c>
      <c r="BZ44" s="22">
        <f t="shared" si="989"/>
        <v>16210.204166400004</v>
      </c>
      <c r="CA44" s="22">
        <f t="shared" si="990"/>
        <v>16210.204166400004</v>
      </c>
      <c r="CB44" s="22">
        <f t="shared" si="991"/>
        <v>16210.204166400004</v>
      </c>
      <c r="CC44" s="22">
        <f t="shared" si="992"/>
        <v>16210.204166400004</v>
      </c>
      <c r="CD44" s="22">
        <f t="shared" si="993"/>
        <v>16210.204166400004</v>
      </c>
      <c r="CE44" s="22">
        <f t="shared" si="994"/>
        <v>16210.204166400004</v>
      </c>
      <c r="CF44" s="30">
        <f t="shared" si="154"/>
        <v>194522.44999680007</v>
      </c>
      <c r="CG44" s="38">
        <v>1</v>
      </c>
      <c r="CH44" s="22">
        <f t="shared" si="995"/>
        <v>17182.816416384005</v>
      </c>
      <c r="CI44" s="22">
        <f t="shared" si="996"/>
        <v>17182.816416384005</v>
      </c>
      <c r="CJ44" s="22">
        <f t="shared" si="997"/>
        <v>17182.816416384005</v>
      </c>
      <c r="CK44" s="22">
        <f t="shared" si="998"/>
        <v>17182.816416384005</v>
      </c>
      <c r="CL44" s="22">
        <f t="shared" si="999"/>
        <v>17182.816416384005</v>
      </c>
      <c r="CM44" s="22">
        <f t="shared" si="1000"/>
        <v>17182.816416384005</v>
      </c>
      <c r="CN44" s="22">
        <f t="shared" si="1001"/>
        <v>17182.816416384005</v>
      </c>
      <c r="CO44" s="22">
        <f t="shared" si="1002"/>
        <v>17182.816416384005</v>
      </c>
      <c r="CP44" s="22">
        <f t="shared" si="1003"/>
        <v>17182.816416384005</v>
      </c>
      <c r="CQ44" s="22">
        <f t="shared" si="1004"/>
        <v>17182.816416384005</v>
      </c>
      <c r="CR44" s="22">
        <f t="shared" si="1005"/>
        <v>17182.816416384005</v>
      </c>
      <c r="CS44" s="22">
        <f t="shared" si="1006"/>
        <v>17182.816416384005</v>
      </c>
      <c r="CT44" s="30">
        <f t="shared" si="156"/>
        <v>206193.79699660811</v>
      </c>
      <c r="CU44" s="38">
        <v>1</v>
      </c>
      <c r="CV44" s="22">
        <f t="shared" si="1007"/>
        <v>18213.785401367048</v>
      </c>
      <c r="CW44" s="22">
        <f t="shared" si="1008"/>
        <v>18213.785401367048</v>
      </c>
      <c r="CX44" s="22">
        <f t="shared" si="1009"/>
        <v>18213.785401367048</v>
      </c>
      <c r="CY44" s="22">
        <f t="shared" si="1010"/>
        <v>18213.785401367048</v>
      </c>
      <c r="CZ44" s="22">
        <f t="shared" si="1011"/>
        <v>18213.785401367048</v>
      </c>
      <c r="DA44" s="22">
        <f t="shared" si="1012"/>
        <v>18213.785401367048</v>
      </c>
      <c r="DB44" s="22">
        <f t="shared" si="1013"/>
        <v>18213.785401367048</v>
      </c>
      <c r="DC44" s="22">
        <f t="shared" si="1014"/>
        <v>18213.785401367048</v>
      </c>
      <c r="DD44" s="22">
        <f t="shared" si="1015"/>
        <v>18213.785401367048</v>
      </c>
      <c r="DE44" s="22">
        <f t="shared" si="1016"/>
        <v>18213.785401367048</v>
      </c>
      <c r="DF44" s="22">
        <f t="shared" si="1017"/>
        <v>18213.785401367048</v>
      </c>
      <c r="DG44" s="22">
        <f t="shared" si="1018"/>
        <v>18213.785401367048</v>
      </c>
      <c r="DH44" s="30">
        <f t="shared" si="158"/>
        <v>218565.42481640461</v>
      </c>
      <c r="DI44" s="38">
        <v>1</v>
      </c>
      <c r="DJ44" s="22">
        <f t="shared" si="1019"/>
        <v>19306.612525449073</v>
      </c>
      <c r="DK44" s="22">
        <f t="shared" si="1020"/>
        <v>19306.612525449073</v>
      </c>
      <c r="DL44" s="22">
        <f t="shared" si="1021"/>
        <v>19306.612525449073</v>
      </c>
      <c r="DM44" s="22">
        <f t="shared" si="1022"/>
        <v>19306.612525449073</v>
      </c>
      <c r="DN44" s="22">
        <f t="shared" si="1023"/>
        <v>19306.612525449073</v>
      </c>
      <c r="DO44" s="22">
        <f t="shared" si="1024"/>
        <v>19306.612525449073</v>
      </c>
      <c r="DP44" s="22">
        <f t="shared" si="1025"/>
        <v>19306.612525449073</v>
      </c>
      <c r="DQ44" s="22">
        <f t="shared" si="1026"/>
        <v>19306.612525449073</v>
      </c>
      <c r="DR44" s="22">
        <f t="shared" si="1027"/>
        <v>19306.612525449073</v>
      </c>
      <c r="DS44" s="22">
        <f t="shared" si="1028"/>
        <v>19306.612525449073</v>
      </c>
      <c r="DT44" s="22">
        <f t="shared" si="1029"/>
        <v>19306.612525449073</v>
      </c>
      <c r="DU44" s="22">
        <f t="shared" si="1030"/>
        <v>19306.612525449073</v>
      </c>
      <c r="DV44" s="30">
        <f t="shared" si="160"/>
        <v>231679.35030538889</v>
      </c>
      <c r="DW44" s="38">
        <v>1</v>
      </c>
      <c r="DX44" s="22">
        <f t="shared" si="1031"/>
        <v>20465.009276976019</v>
      </c>
      <c r="DY44" s="22">
        <f t="shared" si="1032"/>
        <v>20465.009276976019</v>
      </c>
      <c r="DZ44" s="22">
        <f t="shared" si="1033"/>
        <v>20465.009276976019</v>
      </c>
      <c r="EA44" s="22">
        <f t="shared" si="1034"/>
        <v>20465.009276976019</v>
      </c>
      <c r="EB44" s="22">
        <f t="shared" si="1035"/>
        <v>20465.009276976019</v>
      </c>
      <c r="EC44" s="22">
        <f t="shared" si="1036"/>
        <v>20465.009276976019</v>
      </c>
      <c r="ED44" s="22">
        <f t="shared" si="1037"/>
        <v>20465.009276976019</v>
      </c>
      <c r="EE44" s="22">
        <f t="shared" si="1038"/>
        <v>20465.009276976019</v>
      </c>
      <c r="EF44" s="22">
        <f t="shared" si="1039"/>
        <v>20465.009276976019</v>
      </c>
      <c r="EG44" s="22">
        <f t="shared" si="1040"/>
        <v>20465.009276976019</v>
      </c>
      <c r="EH44" s="22">
        <f t="shared" si="1041"/>
        <v>20465.009276976019</v>
      </c>
      <c r="EI44" s="22">
        <f t="shared" si="1042"/>
        <v>20465.009276976019</v>
      </c>
      <c r="EJ44" s="30">
        <f t="shared" si="162"/>
        <v>245580.11132371225</v>
      </c>
    </row>
    <row r="45" spans="1:140">
      <c r="A45" s="8" t="s">
        <v>69</v>
      </c>
      <c r="B45" s="22">
        <v>8500</v>
      </c>
      <c r="C45" s="22">
        <f t="shared" si="1043"/>
        <v>8500</v>
      </c>
      <c r="D45" s="22">
        <f t="shared" si="1043"/>
        <v>8500</v>
      </c>
      <c r="E45" s="22">
        <f t="shared" si="1043"/>
        <v>8500</v>
      </c>
      <c r="F45" s="22">
        <f t="shared" si="1043"/>
        <v>8500</v>
      </c>
      <c r="G45" s="22">
        <f t="shared" si="1043"/>
        <v>8500</v>
      </c>
      <c r="H45" s="22">
        <f t="shared" si="1043"/>
        <v>8500</v>
      </c>
      <c r="I45" s="22">
        <f t="shared" si="1043"/>
        <v>8500</v>
      </c>
      <c r="J45" s="22">
        <f t="shared" si="1043"/>
        <v>8500</v>
      </c>
      <c r="K45" s="22">
        <f t="shared" si="1043"/>
        <v>8500</v>
      </c>
      <c r="L45" s="22">
        <f t="shared" si="1043"/>
        <v>8500</v>
      </c>
      <c r="M45" s="22">
        <f t="shared" si="1043"/>
        <v>8500</v>
      </c>
      <c r="N45" s="30">
        <f t="shared" si="144"/>
        <v>102000</v>
      </c>
      <c r="O45" s="38">
        <v>1</v>
      </c>
      <c r="P45" s="22">
        <f t="shared" si="935"/>
        <v>9095</v>
      </c>
      <c r="Q45" s="22">
        <f t="shared" si="936"/>
        <v>9095</v>
      </c>
      <c r="R45" s="22">
        <f t="shared" si="937"/>
        <v>9095</v>
      </c>
      <c r="S45" s="22">
        <f t="shared" si="938"/>
        <v>9095</v>
      </c>
      <c r="T45" s="22">
        <f t="shared" si="939"/>
        <v>9095</v>
      </c>
      <c r="U45" s="22">
        <f t="shared" si="940"/>
        <v>9095</v>
      </c>
      <c r="V45" s="22">
        <f t="shared" si="941"/>
        <v>9095</v>
      </c>
      <c r="W45" s="22">
        <f t="shared" si="942"/>
        <v>9095</v>
      </c>
      <c r="X45" s="22">
        <f t="shared" si="943"/>
        <v>9095</v>
      </c>
      <c r="Y45" s="22">
        <f t="shared" si="944"/>
        <v>9095</v>
      </c>
      <c r="Z45" s="22">
        <f t="shared" si="945"/>
        <v>9095</v>
      </c>
      <c r="AA45" s="22">
        <f t="shared" si="946"/>
        <v>9095</v>
      </c>
      <c r="AB45" s="30">
        <f t="shared" si="146"/>
        <v>109140</v>
      </c>
      <c r="AC45" s="38">
        <v>1</v>
      </c>
      <c r="AD45" s="22">
        <f t="shared" si="947"/>
        <v>9640.7000000000007</v>
      </c>
      <c r="AE45" s="22">
        <f t="shared" si="948"/>
        <v>9640.7000000000007</v>
      </c>
      <c r="AF45" s="22">
        <f t="shared" si="949"/>
        <v>9640.7000000000007</v>
      </c>
      <c r="AG45" s="22">
        <f t="shared" si="950"/>
        <v>9640.7000000000007</v>
      </c>
      <c r="AH45" s="22">
        <f t="shared" si="951"/>
        <v>9640.7000000000007</v>
      </c>
      <c r="AI45" s="22">
        <f t="shared" si="952"/>
        <v>9640.7000000000007</v>
      </c>
      <c r="AJ45" s="22">
        <f t="shared" si="953"/>
        <v>9640.7000000000007</v>
      </c>
      <c r="AK45" s="22">
        <f t="shared" si="954"/>
        <v>9640.7000000000007</v>
      </c>
      <c r="AL45" s="22">
        <f t="shared" si="955"/>
        <v>9640.7000000000007</v>
      </c>
      <c r="AM45" s="22">
        <f t="shared" si="956"/>
        <v>9640.7000000000007</v>
      </c>
      <c r="AN45" s="22">
        <f t="shared" si="957"/>
        <v>9640.7000000000007</v>
      </c>
      <c r="AO45" s="22">
        <f t="shared" si="958"/>
        <v>9640.7000000000007</v>
      </c>
      <c r="AP45" s="30">
        <f t="shared" si="148"/>
        <v>115688.39999999998</v>
      </c>
      <c r="AQ45" s="38">
        <v>1</v>
      </c>
      <c r="AR45" s="22">
        <f t="shared" si="959"/>
        <v>10219.142000000002</v>
      </c>
      <c r="AS45" s="22">
        <f t="shared" si="960"/>
        <v>10219.142000000002</v>
      </c>
      <c r="AT45" s="22">
        <f t="shared" si="961"/>
        <v>10219.142000000002</v>
      </c>
      <c r="AU45" s="22">
        <f t="shared" si="962"/>
        <v>10219.142000000002</v>
      </c>
      <c r="AV45" s="22">
        <f t="shared" si="963"/>
        <v>10219.142000000002</v>
      </c>
      <c r="AW45" s="22">
        <f t="shared" si="964"/>
        <v>10219.142000000002</v>
      </c>
      <c r="AX45" s="22">
        <f t="shared" si="965"/>
        <v>10219.142000000002</v>
      </c>
      <c r="AY45" s="22">
        <f t="shared" si="966"/>
        <v>10219.142000000002</v>
      </c>
      <c r="AZ45" s="22">
        <f t="shared" si="967"/>
        <v>10219.142000000002</v>
      </c>
      <c r="BA45" s="22">
        <f t="shared" si="968"/>
        <v>10219.142000000002</v>
      </c>
      <c r="BB45" s="22">
        <f t="shared" si="969"/>
        <v>10219.142000000002</v>
      </c>
      <c r="BC45" s="22">
        <f t="shared" si="970"/>
        <v>10219.142000000002</v>
      </c>
      <c r="BD45" s="30">
        <f t="shared" si="150"/>
        <v>122629.70400000004</v>
      </c>
      <c r="BE45" s="38">
        <v>1</v>
      </c>
      <c r="BF45" s="22">
        <f t="shared" si="971"/>
        <v>10832.290520000002</v>
      </c>
      <c r="BG45" s="22">
        <f t="shared" si="972"/>
        <v>10832.290520000002</v>
      </c>
      <c r="BH45" s="22">
        <f t="shared" si="973"/>
        <v>10832.290520000002</v>
      </c>
      <c r="BI45" s="22">
        <f t="shared" si="974"/>
        <v>10832.290520000002</v>
      </c>
      <c r="BJ45" s="22">
        <f t="shared" si="975"/>
        <v>10832.290520000002</v>
      </c>
      <c r="BK45" s="22">
        <f t="shared" si="976"/>
        <v>10832.290520000002</v>
      </c>
      <c r="BL45" s="22">
        <f t="shared" si="977"/>
        <v>10832.290520000002</v>
      </c>
      <c r="BM45" s="22">
        <f t="shared" si="978"/>
        <v>10832.290520000002</v>
      </c>
      <c r="BN45" s="22">
        <f t="shared" si="979"/>
        <v>10832.290520000002</v>
      </c>
      <c r="BO45" s="22">
        <f t="shared" si="980"/>
        <v>10832.290520000002</v>
      </c>
      <c r="BP45" s="22">
        <f t="shared" si="981"/>
        <v>10832.290520000002</v>
      </c>
      <c r="BQ45" s="22">
        <f t="shared" si="982"/>
        <v>10832.290520000002</v>
      </c>
      <c r="BR45" s="30">
        <f t="shared" si="152"/>
        <v>129987.48624000006</v>
      </c>
      <c r="BS45" s="38">
        <v>1</v>
      </c>
      <c r="BT45" s="22">
        <f t="shared" si="983"/>
        <v>11482.227951200002</v>
      </c>
      <c r="BU45" s="22">
        <f t="shared" si="984"/>
        <v>11482.227951200002</v>
      </c>
      <c r="BV45" s="22">
        <f t="shared" si="985"/>
        <v>11482.227951200002</v>
      </c>
      <c r="BW45" s="22">
        <f t="shared" si="986"/>
        <v>11482.227951200002</v>
      </c>
      <c r="BX45" s="22">
        <f t="shared" si="987"/>
        <v>11482.227951200002</v>
      </c>
      <c r="BY45" s="22">
        <f t="shared" si="988"/>
        <v>11482.227951200002</v>
      </c>
      <c r="BZ45" s="22">
        <f t="shared" si="989"/>
        <v>11482.227951200002</v>
      </c>
      <c r="CA45" s="22">
        <f t="shared" si="990"/>
        <v>11482.227951200002</v>
      </c>
      <c r="CB45" s="22">
        <f t="shared" si="991"/>
        <v>11482.227951200002</v>
      </c>
      <c r="CC45" s="22">
        <f t="shared" si="992"/>
        <v>11482.227951200002</v>
      </c>
      <c r="CD45" s="22">
        <f t="shared" si="993"/>
        <v>11482.227951200002</v>
      </c>
      <c r="CE45" s="22">
        <f t="shared" si="994"/>
        <v>11482.227951200002</v>
      </c>
      <c r="CF45" s="30">
        <f t="shared" si="154"/>
        <v>137786.73541440006</v>
      </c>
      <c r="CG45" s="38">
        <v>1</v>
      </c>
      <c r="CH45" s="22">
        <f t="shared" si="995"/>
        <v>12171.161628272002</v>
      </c>
      <c r="CI45" s="22">
        <f t="shared" si="996"/>
        <v>12171.161628272002</v>
      </c>
      <c r="CJ45" s="22">
        <f t="shared" si="997"/>
        <v>12171.161628272002</v>
      </c>
      <c r="CK45" s="22">
        <f t="shared" si="998"/>
        <v>12171.161628272002</v>
      </c>
      <c r="CL45" s="22">
        <f t="shared" si="999"/>
        <v>12171.161628272002</v>
      </c>
      <c r="CM45" s="22">
        <f t="shared" si="1000"/>
        <v>12171.161628272002</v>
      </c>
      <c r="CN45" s="22">
        <f t="shared" si="1001"/>
        <v>12171.161628272002</v>
      </c>
      <c r="CO45" s="22">
        <f t="shared" si="1002"/>
        <v>12171.161628272002</v>
      </c>
      <c r="CP45" s="22">
        <f t="shared" si="1003"/>
        <v>12171.161628272002</v>
      </c>
      <c r="CQ45" s="22">
        <f t="shared" si="1004"/>
        <v>12171.161628272002</v>
      </c>
      <c r="CR45" s="22">
        <f t="shared" si="1005"/>
        <v>12171.161628272002</v>
      </c>
      <c r="CS45" s="22">
        <f t="shared" si="1006"/>
        <v>12171.161628272002</v>
      </c>
      <c r="CT45" s="30">
        <f t="shared" si="156"/>
        <v>146053.93953926404</v>
      </c>
      <c r="CU45" s="38">
        <v>1</v>
      </c>
      <c r="CV45" s="22">
        <f t="shared" si="1007"/>
        <v>12901.431325968324</v>
      </c>
      <c r="CW45" s="22">
        <f t="shared" si="1008"/>
        <v>12901.431325968324</v>
      </c>
      <c r="CX45" s="22">
        <f t="shared" si="1009"/>
        <v>12901.431325968324</v>
      </c>
      <c r="CY45" s="22">
        <f t="shared" si="1010"/>
        <v>12901.431325968324</v>
      </c>
      <c r="CZ45" s="22">
        <f t="shared" si="1011"/>
        <v>12901.431325968324</v>
      </c>
      <c r="DA45" s="22">
        <f t="shared" si="1012"/>
        <v>12901.431325968324</v>
      </c>
      <c r="DB45" s="22">
        <f t="shared" si="1013"/>
        <v>12901.431325968324</v>
      </c>
      <c r="DC45" s="22">
        <f t="shared" si="1014"/>
        <v>12901.431325968324</v>
      </c>
      <c r="DD45" s="22">
        <f t="shared" si="1015"/>
        <v>12901.431325968324</v>
      </c>
      <c r="DE45" s="22">
        <f t="shared" si="1016"/>
        <v>12901.431325968324</v>
      </c>
      <c r="DF45" s="22">
        <f t="shared" si="1017"/>
        <v>12901.431325968324</v>
      </c>
      <c r="DG45" s="22">
        <f t="shared" si="1018"/>
        <v>12901.431325968324</v>
      </c>
      <c r="DH45" s="30">
        <f t="shared" si="158"/>
        <v>154817.17591161988</v>
      </c>
      <c r="DI45" s="38">
        <v>1</v>
      </c>
      <c r="DJ45" s="22">
        <f t="shared" si="1019"/>
        <v>13675.517205526425</v>
      </c>
      <c r="DK45" s="22">
        <f t="shared" si="1020"/>
        <v>13675.517205526425</v>
      </c>
      <c r="DL45" s="22">
        <f t="shared" si="1021"/>
        <v>13675.517205526425</v>
      </c>
      <c r="DM45" s="22">
        <f t="shared" si="1022"/>
        <v>13675.517205526425</v>
      </c>
      <c r="DN45" s="22">
        <f t="shared" si="1023"/>
        <v>13675.517205526425</v>
      </c>
      <c r="DO45" s="22">
        <f t="shared" si="1024"/>
        <v>13675.517205526425</v>
      </c>
      <c r="DP45" s="22">
        <f t="shared" si="1025"/>
        <v>13675.517205526425</v>
      </c>
      <c r="DQ45" s="22">
        <f t="shared" si="1026"/>
        <v>13675.517205526425</v>
      </c>
      <c r="DR45" s="22">
        <f t="shared" si="1027"/>
        <v>13675.517205526425</v>
      </c>
      <c r="DS45" s="22">
        <f t="shared" si="1028"/>
        <v>13675.517205526425</v>
      </c>
      <c r="DT45" s="22">
        <f t="shared" si="1029"/>
        <v>13675.517205526425</v>
      </c>
      <c r="DU45" s="22">
        <f t="shared" si="1030"/>
        <v>13675.517205526425</v>
      </c>
      <c r="DV45" s="30">
        <f t="shared" si="160"/>
        <v>164106.20646631706</v>
      </c>
      <c r="DW45" s="38">
        <v>1</v>
      </c>
      <c r="DX45" s="22">
        <f t="shared" si="1031"/>
        <v>14496.048237858011</v>
      </c>
      <c r="DY45" s="22">
        <f t="shared" si="1032"/>
        <v>14496.048237858011</v>
      </c>
      <c r="DZ45" s="22">
        <f t="shared" si="1033"/>
        <v>14496.048237858011</v>
      </c>
      <c r="EA45" s="22">
        <f t="shared" si="1034"/>
        <v>14496.048237858011</v>
      </c>
      <c r="EB45" s="22">
        <f t="shared" si="1035"/>
        <v>14496.048237858011</v>
      </c>
      <c r="EC45" s="22">
        <f t="shared" si="1036"/>
        <v>14496.048237858011</v>
      </c>
      <c r="ED45" s="22">
        <f t="shared" si="1037"/>
        <v>14496.048237858011</v>
      </c>
      <c r="EE45" s="22">
        <f t="shared" si="1038"/>
        <v>14496.048237858011</v>
      </c>
      <c r="EF45" s="22">
        <f t="shared" si="1039"/>
        <v>14496.048237858011</v>
      </c>
      <c r="EG45" s="22">
        <f t="shared" si="1040"/>
        <v>14496.048237858011</v>
      </c>
      <c r="EH45" s="22">
        <f t="shared" si="1041"/>
        <v>14496.048237858011</v>
      </c>
      <c r="EI45" s="22">
        <f t="shared" si="1042"/>
        <v>14496.048237858011</v>
      </c>
      <c r="EJ45" s="30">
        <f t="shared" si="162"/>
        <v>173952.57885429612</v>
      </c>
    </row>
    <row r="46" spans="1:140">
      <c r="A46" s="8" t="s">
        <v>95</v>
      </c>
      <c r="B46" s="22">
        <v>600</v>
      </c>
      <c r="C46" s="22">
        <f t="shared" si="1043"/>
        <v>600</v>
      </c>
      <c r="D46" s="22">
        <f t="shared" si="1043"/>
        <v>600</v>
      </c>
      <c r="E46" s="22">
        <f t="shared" si="1043"/>
        <v>600</v>
      </c>
      <c r="F46" s="22">
        <f t="shared" si="1043"/>
        <v>600</v>
      </c>
      <c r="G46" s="22">
        <f t="shared" si="1043"/>
        <v>600</v>
      </c>
      <c r="H46" s="22">
        <f t="shared" si="1043"/>
        <v>600</v>
      </c>
      <c r="I46" s="22">
        <f t="shared" si="1043"/>
        <v>600</v>
      </c>
      <c r="J46" s="22">
        <f t="shared" si="1043"/>
        <v>600</v>
      </c>
      <c r="K46" s="22">
        <f t="shared" si="1043"/>
        <v>600</v>
      </c>
      <c r="L46" s="22">
        <f t="shared" si="1043"/>
        <v>600</v>
      </c>
      <c r="M46" s="22">
        <f t="shared" si="1043"/>
        <v>600</v>
      </c>
      <c r="N46" s="30">
        <f t="shared" si="144"/>
        <v>7200</v>
      </c>
      <c r="O46" s="38">
        <v>1</v>
      </c>
      <c r="P46" s="22">
        <f t="shared" si="935"/>
        <v>642</v>
      </c>
      <c r="Q46" s="22">
        <f t="shared" si="936"/>
        <v>642</v>
      </c>
      <c r="R46" s="22">
        <f t="shared" si="937"/>
        <v>642</v>
      </c>
      <c r="S46" s="22">
        <f t="shared" si="938"/>
        <v>642</v>
      </c>
      <c r="T46" s="22">
        <f t="shared" si="939"/>
        <v>642</v>
      </c>
      <c r="U46" s="22">
        <f t="shared" si="940"/>
        <v>642</v>
      </c>
      <c r="V46" s="22">
        <f t="shared" si="941"/>
        <v>642</v>
      </c>
      <c r="W46" s="22">
        <f t="shared" si="942"/>
        <v>642</v>
      </c>
      <c r="X46" s="22">
        <f t="shared" si="943"/>
        <v>642</v>
      </c>
      <c r="Y46" s="22">
        <f t="shared" si="944"/>
        <v>642</v>
      </c>
      <c r="Z46" s="22">
        <f t="shared" si="945"/>
        <v>642</v>
      </c>
      <c r="AA46" s="22">
        <f t="shared" si="946"/>
        <v>642</v>
      </c>
      <c r="AB46" s="30">
        <f t="shared" si="146"/>
        <v>7704</v>
      </c>
      <c r="AC46" s="38">
        <v>1</v>
      </c>
      <c r="AD46" s="22">
        <f t="shared" si="947"/>
        <v>680.52</v>
      </c>
      <c r="AE46" s="22">
        <f t="shared" si="948"/>
        <v>680.52</v>
      </c>
      <c r="AF46" s="22">
        <f t="shared" si="949"/>
        <v>680.52</v>
      </c>
      <c r="AG46" s="22">
        <f t="shared" si="950"/>
        <v>680.52</v>
      </c>
      <c r="AH46" s="22">
        <f t="shared" si="951"/>
        <v>680.52</v>
      </c>
      <c r="AI46" s="22">
        <f t="shared" si="952"/>
        <v>680.52</v>
      </c>
      <c r="AJ46" s="22">
        <f t="shared" si="953"/>
        <v>680.52</v>
      </c>
      <c r="AK46" s="22">
        <f t="shared" si="954"/>
        <v>680.52</v>
      </c>
      <c r="AL46" s="22">
        <f t="shared" si="955"/>
        <v>680.52</v>
      </c>
      <c r="AM46" s="22">
        <f t="shared" si="956"/>
        <v>680.52</v>
      </c>
      <c r="AN46" s="22">
        <f t="shared" si="957"/>
        <v>680.52</v>
      </c>
      <c r="AO46" s="22">
        <f t="shared" si="958"/>
        <v>680.52</v>
      </c>
      <c r="AP46" s="30">
        <f t="shared" si="148"/>
        <v>8166.2400000000016</v>
      </c>
      <c r="AQ46" s="38">
        <v>1</v>
      </c>
      <c r="AR46" s="22">
        <f t="shared" si="959"/>
        <v>721.35120000000006</v>
      </c>
      <c r="AS46" s="22">
        <f t="shared" si="960"/>
        <v>721.35120000000006</v>
      </c>
      <c r="AT46" s="22">
        <f t="shared" si="961"/>
        <v>721.35120000000006</v>
      </c>
      <c r="AU46" s="22">
        <f t="shared" si="962"/>
        <v>721.35120000000006</v>
      </c>
      <c r="AV46" s="22">
        <f t="shared" si="963"/>
        <v>721.35120000000006</v>
      </c>
      <c r="AW46" s="22">
        <f t="shared" si="964"/>
        <v>721.35120000000006</v>
      </c>
      <c r="AX46" s="22">
        <f t="shared" si="965"/>
        <v>721.35120000000006</v>
      </c>
      <c r="AY46" s="22">
        <f t="shared" si="966"/>
        <v>721.35120000000006</v>
      </c>
      <c r="AZ46" s="22">
        <f t="shared" si="967"/>
        <v>721.35120000000006</v>
      </c>
      <c r="BA46" s="22">
        <f t="shared" si="968"/>
        <v>721.35120000000006</v>
      </c>
      <c r="BB46" s="22">
        <f t="shared" si="969"/>
        <v>721.35120000000006</v>
      </c>
      <c r="BC46" s="22">
        <f t="shared" si="970"/>
        <v>721.35120000000006</v>
      </c>
      <c r="BD46" s="30">
        <f t="shared" si="150"/>
        <v>8656.2144000000008</v>
      </c>
      <c r="BE46" s="38">
        <v>1</v>
      </c>
      <c r="BF46" s="22">
        <f t="shared" si="971"/>
        <v>764.63227200000006</v>
      </c>
      <c r="BG46" s="22">
        <f t="shared" si="972"/>
        <v>764.63227200000006</v>
      </c>
      <c r="BH46" s="22">
        <f t="shared" si="973"/>
        <v>764.63227200000006</v>
      </c>
      <c r="BI46" s="22">
        <f t="shared" si="974"/>
        <v>764.63227200000006</v>
      </c>
      <c r="BJ46" s="22">
        <f t="shared" si="975"/>
        <v>764.63227200000006</v>
      </c>
      <c r="BK46" s="22">
        <f t="shared" si="976"/>
        <v>764.63227200000006</v>
      </c>
      <c r="BL46" s="22">
        <f t="shared" si="977"/>
        <v>764.63227200000006</v>
      </c>
      <c r="BM46" s="22">
        <f t="shared" si="978"/>
        <v>764.63227200000006</v>
      </c>
      <c r="BN46" s="22">
        <f t="shared" si="979"/>
        <v>764.63227200000006</v>
      </c>
      <c r="BO46" s="22">
        <f t="shared" si="980"/>
        <v>764.63227200000006</v>
      </c>
      <c r="BP46" s="22">
        <f t="shared" si="981"/>
        <v>764.63227200000006</v>
      </c>
      <c r="BQ46" s="22">
        <f t="shared" si="982"/>
        <v>764.63227200000006</v>
      </c>
      <c r="BR46" s="30">
        <f t="shared" si="152"/>
        <v>9175.5872639999998</v>
      </c>
      <c r="BS46" s="38">
        <v>1</v>
      </c>
      <c r="BT46" s="22">
        <f t="shared" si="983"/>
        <v>810.51020832000006</v>
      </c>
      <c r="BU46" s="22">
        <f t="shared" si="984"/>
        <v>810.51020832000006</v>
      </c>
      <c r="BV46" s="22">
        <f t="shared" si="985"/>
        <v>810.51020832000006</v>
      </c>
      <c r="BW46" s="22">
        <f t="shared" si="986"/>
        <v>810.51020832000006</v>
      </c>
      <c r="BX46" s="22">
        <f t="shared" si="987"/>
        <v>810.51020832000006</v>
      </c>
      <c r="BY46" s="22">
        <f t="shared" si="988"/>
        <v>810.51020832000006</v>
      </c>
      <c r="BZ46" s="22">
        <f t="shared" si="989"/>
        <v>810.51020832000006</v>
      </c>
      <c r="CA46" s="22">
        <f t="shared" si="990"/>
        <v>810.51020832000006</v>
      </c>
      <c r="CB46" s="22">
        <f t="shared" si="991"/>
        <v>810.51020832000006</v>
      </c>
      <c r="CC46" s="22">
        <f t="shared" si="992"/>
        <v>810.51020832000006</v>
      </c>
      <c r="CD46" s="22">
        <f t="shared" si="993"/>
        <v>810.51020832000006</v>
      </c>
      <c r="CE46" s="22">
        <f t="shared" si="994"/>
        <v>810.51020832000006</v>
      </c>
      <c r="CF46" s="30">
        <f t="shared" si="154"/>
        <v>9726.1224998400012</v>
      </c>
      <c r="CG46" s="38">
        <v>1</v>
      </c>
      <c r="CH46" s="22">
        <f t="shared" si="995"/>
        <v>859.14082081920014</v>
      </c>
      <c r="CI46" s="22">
        <f t="shared" si="996"/>
        <v>859.14082081920014</v>
      </c>
      <c r="CJ46" s="22">
        <f t="shared" si="997"/>
        <v>859.14082081920014</v>
      </c>
      <c r="CK46" s="22">
        <f t="shared" si="998"/>
        <v>859.14082081920014</v>
      </c>
      <c r="CL46" s="22">
        <f t="shared" si="999"/>
        <v>859.14082081920014</v>
      </c>
      <c r="CM46" s="22">
        <f t="shared" si="1000"/>
        <v>859.14082081920014</v>
      </c>
      <c r="CN46" s="22">
        <f t="shared" si="1001"/>
        <v>859.14082081920014</v>
      </c>
      <c r="CO46" s="22">
        <f t="shared" si="1002"/>
        <v>859.14082081920014</v>
      </c>
      <c r="CP46" s="22">
        <f t="shared" si="1003"/>
        <v>859.14082081920014</v>
      </c>
      <c r="CQ46" s="22">
        <f t="shared" si="1004"/>
        <v>859.14082081920014</v>
      </c>
      <c r="CR46" s="22">
        <f t="shared" si="1005"/>
        <v>859.14082081920014</v>
      </c>
      <c r="CS46" s="22">
        <f t="shared" si="1006"/>
        <v>859.14082081920014</v>
      </c>
      <c r="CT46" s="30">
        <f t="shared" si="156"/>
        <v>10309.689849830405</v>
      </c>
      <c r="CU46" s="38">
        <v>1</v>
      </c>
      <c r="CV46" s="22">
        <f t="shared" si="1007"/>
        <v>910.68927006835224</v>
      </c>
      <c r="CW46" s="22">
        <f t="shared" si="1008"/>
        <v>910.68927006835224</v>
      </c>
      <c r="CX46" s="22">
        <f t="shared" si="1009"/>
        <v>910.68927006835224</v>
      </c>
      <c r="CY46" s="22">
        <f t="shared" si="1010"/>
        <v>910.68927006835224</v>
      </c>
      <c r="CZ46" s="22">
        <f t="shared" si="1011"/>
        <v>910.68927006835224</v>
      </c>
      <c r="DA46" s="22">
        <f t="shared" si="1012"/>
        <v>910.68927006835224</v>
      </c>
      <c r="DB46" s="22">
        <f t="shared" si="1013"/>
        <v>910.68927006835224</v>
      </c>
      <c r="DC46" s="22">
        <f t="shared" si="1014"/>
        <v>910.68927006835224</v>
      </c>
      <c r="DD46" s="22">
        <f t="shared" si="1015"/>
        <v>910.68927006835224</v>
      </c>
      <c r="DE46" s="22">
        <f t="shared" si="1016"/>
        <v>910.68927006835224</v>
      </c>
      <c r="DF46" s="22">
        <f t="shared" si="1017"/>
        <v>910.68927006835224</v>
      </c>
      <c r="DG46" s="22">
        <f t="shared" si="1018"/>
        <v>910.68927006835224</v>
      </c>
      <c r="DH46" s="30">
        <f t="shared" si="158"/>
        <v>10928.271240820228</v>
      </c>
      <c r="DI46" s="38">
        <v>1</v>
      </c>
      <c r="DJ46" s="22">
        <f t="shared" si="1019"/>
        <v>965.3306262724534</v>
      </c>
      <c r="DK46" s="22">
        <f t="shared" si="1020"/>
        <v>965.3306262724534</v>
      </c>
      <c r="DL46" s="22">
        <f t="shared" si="1021"/>
        <v>965.3306262724534</v>
      </c>
      <c r="DM46" s="22">
        <f t="shared" si="1022"/>
        <v>965.3306262724534</v>
      </c>
      <c r="DN46" s="22">
        <f t="shared" si="1023"/>
        <v>965.3306262724534</v>
      </c>
      <c r="DO46" s="22">
        <f t="shared" si="1024"/>
        <v>965.3306262724534</v>
      </c>
      <c r="DP46" s="22">
        <f t="shared" si="1025"/>
        <v>965.3306262724534</v>
      </c>
      <c r="DQ46" s="22">
        <f t="shared" si="1026"/>
        <v>965.3306262724534</v>
      </c>
      <c r="DR46" s="22">
        <f t="shared" si="1027"/>
        <v>965.3306262724534</v>
      </c>
      <c r="DS46" s="22">
        <f t="shared" si="1028"/>
        <v>965.3306262724534</v>
      </c>
      <c r="DT46" s="22">
        <f t="shared" si="1029"/>
        <v>965.3306262724534</v>
      </c>
      <c r="DU46" s="22">
        <f t="shared" si="1030"/>
        <v>965.3306262724534</v>
      </c>
      <c r="DV46" s="30">
        <f t="shared" si="160"/>
        <v>11583.96751526944</v>
      </c>
      <c r="DW46" s="38">
        <v>1</v>
      </c>
      <c r="DX46" s="22">
        <f t="shared" si="1031"/>
        <v>1023.2504638488007</v>
      </c>
      <c r="DY46" s="22">
        <f t="shared" si="1032"/>
        <v>1023.2504638488007</v>
      </c>
      <c r="DZ46" s="22">
        <f t="shared" si="1033"/>
        <v>1023.2504638488007</v>
      </c>
      <c r="EA46" s="22">
        <f t="shared" si="1034"/>
        <v>1023.2504638488007</v>
      </c>
      <c r="EB46" s="22">
        <f t="shared" si="1035"/>
        <v>1023.2504638488007</v>
      </c>
      <c r="EC46" s="22">
        <f t="shared" si="1036"/>
        <v>1023.2504638488007</v>
      </c>
      <c r="ED46" s="22">
        <f t="shared" si="1037"/>
        <v>1023.2504638488007</v>
      </c>
      <c r="EE46" s="22">
        <f t="shared" si="1038"/>
        <v>1023.2504638488007</v>
      </c>
      <c r="EF46" s="22">
        <f t="shared" si="1039"/>
        <v>1023.2504638488007</v>
      </c>
      <c r="EG46" s="22">
        <f t="shared" si="1040"/>
        <v>1023.2504638488007</v>
      </c>
      <c r="EH46" s="22">
        <f t="shared" si="1041"/>
        <v>1023.2504638488007</v>
      </c>
      <c r="EI46" s="22">
        <f t="shared" si="1042"/>
        <v>1023.2504638488007</v>
      </c>
      <c r="EJ46" s="30">
        <f t="shared" si="162"/>
        <v>12279.005566185608</v>
      </c>
    </row>
    <row r="47" spans="1:140">
      <c r="A47" s="8" t="s">
        <v>97</v>
      </c>
      <c r="B47" s="22">
        <v>800</v>
      </c>
      <c r="C47" s="22">
        <f t="shared" si="1043"/>
        <v>800</v>
      </c>
      <c r="D47" s="22">
        <f t="shared" si="1043"/>
        <v>800</v>
      </c>
      <c r="E47" s="22">
        <f t="shared" si="1043"/>
        <v>800</v>
      </c>
      <c r="F47" s="22">
        <f t="shared" si="1043"/>
        <v>800</v>
      </c>
      <c r="G47" s="22">
        <f t="shared" si="1043"/>
        <v>800</v>
      </c>
      <c r="H47" s="22">
        <f t="shared" si="1043"/>
        <v>800</v>
      </c>
      <c r="I47" s="22">
        <f t="shared" si="1043"/>
        <v>800</v>
      </c>
      <c r="J47" s="22">
        <f t="shared" si="1043"/>
        <v>800</v>
      </c>
      <c r="K47" s="22">
        <f t="shared" si="1043"/>
        <v>800</v>
      </c>
      <c r="L47" s="22">
        <f t="shared" si="1043"/>
        <v>800</v>
      </c>
      <c r="M47" s="22">
        <f t="shared" si="1043"/>
        <v>800</v>
      </c>
      <c r="N47" s="30">
        <f t="shared" si="144"/>
        <v>9600</v>
      </c>
      <c r="O47" s="38">
        <v>1</v>
      </c>
      <c r="P47" s="22">
        <f t="shared" si="935"/>
        <v>856</v>
      </c>
      <c r="Q47" s="22">
        <f t="shared" si="936"/>
        <v>856</v>
      </c>
      <c r="R47" s="22">
        <f t="shared" si="937"/>
        <v>856</v>
      </c>
      <c r="S47" s="22">
        <f t="shared" si="938"/>
        <v>856</v>
      </c>
      <c r="T47" s="22">
        <f t="shared" si="939"/>
        <v>856</v>
      </c>
      <c r="U47" s="22">
        <f t="shared" si="940"/>
        <v>856</v>
      </c>
      <c r="V47" s="22">
        <f t="shared" si="941"/>
        <v>856</v>
      </c>
      <c r="W47" s="22">
        <f t="shared" si="942"/>
        <v>856</v>
      </c>
      <c r="X47" s="22">
        <f t="shared" si="943"/>
        <v>856</v>
      </c>
      <c r="Y47" s="22">
        <f t="shared" si="944"/>
        <v>856</v>
      </c>
      <c r="Z47" s="22">
        <f t="shared" si="945"/>
        <v>856</v>
      </c>
      <c r="AA47" s="22">
        <f t="shared" si="946"/>
        <v>856</v>
      </c>
      <c r="AB47" s="30">
        <f t="shared" si="146"/>
        <v>10272</v>
      </c>
      <c r="AC47" s="38">
        <v>1</v>
      </c>
      <c r="AD47" s="22">
        <f t="shared" si="947"/>
        <v>907.36</v>
      </c>
      <c r="AE47" s="22">
        <f t="shared" si="948"/>
        <v>907.36</v>
      </c>
      <c r="AF47" s="22">
        <f t="shared" si="949"/>
        <v>907.36</v>
      </c>
      <c r="AG47" s="22">
        <f t="shared" si="950"/>
        <v>907.36</v>
      </c>
      <c r="AH47" s="22">
        <f t="shared" si="951"/>
        <v>907.36</v>
      </c>
      <c r="AI47" s="22">
        <f t="shared" si="952"/>
        <v>907.36</v>
      </c>
      <c r="AJ47" s="22">
        <f t="shared" si="953"/>
        <v>907.36</v>
      </c>
      <c r="AK47" s="22">
        <f t="shared" si="954"/>
        <v>907.36</v>
      </c>
      <c r="AL47" s="22">
        <f t="shared" si="955"/>
        <v>907.36</v>
      </c>
      <c r="AM47" s="22">
        <f t="shared" si="956"/>
        <v>907.36</v>
      </c>
      <c r="AN47" s="22">
        <f t="shared" si="957"/>
        <v>907.36</v>
      </c>
      <c r="AO47" s="22">
        <f t="shared" si="958"/>
        <v>907.36</v>
      </c>
      <c r="AP47" s="30">
        <f t="shared" si="148"/>
        <v>10888.32</v>
      </c>
      <c r="AQ47" s="38">
        <v>1</v>
      </c>
      <c r="AR47" s="22">
        <f t="shared" si="959"/>
        <v>961.80160000000001</v>
      </c>
      <c r="AS47" s="22">
        <f t="shared" si="960"/>
        <v>961.80160000000001</v>
      </c>
      <c r="AT47" s="22">
        <f t="shared" si="961"/>
        <v>961.80160000000001</v>
      </c>
      <c r="AU47" s="22">
        <f t="shared" si="962"/>
        <v>961.80160000000001</v>
      </c>
      <c r="AV47" s="22">
        <f t="shared" si="963"/>
        <v>961.80160000000001</v>
      </c>
      <c r="AW47" s="22">
        <f t="shared" si="964"/>
        <v>961.80160000000001</v>
      </c>
      <c r="AX47" s="22">
        <f t="shared" si="965"/>
        <v>961.80160000000001</v>
      </c>
      <c r="AY47" s="22">
        <f t="shared" si="966"/>
        <v>961.80160000000001</v>
      </c>
      <c r="AZ47" s="22">
        <f t="shared" si="967"/>
        <v>961.80160000000001</v>
      </c>
      <c r="BA47" s="22">
        <f t="shared" si="968"/>
        <v>961.80160000000001</v>
      </c>
      <c r="BB47" s="22">
        <f t="shared" si="969"/>
        <v>961.80160000000001</v>
      </c>
      <c r="BC47" s="22">
        <f t="shared" si="970"/>
        <v>961.80160000000001</v>
      </c>
      <c r="BD47" s="30">
        <f t="shared" si="150"/>
        <v>11541.619200000001</v>
      </c>
      <c r="BE47" s="38">
        <v>1</v>
      </c>
      <c r="BF47" s="22">
        <f t="shared" si="971"/>
        <v>1019.5096960000001</v>
      </c>
      <c r="BG47" s="22">
        <f t="shared" si="972"/>
        <v>1019.5096960000001</v>
      </c>
      <c r="BH47" s="22">
        <f t="shared" si="973"/>
        <v>1019.5096960000001</v>
      </c>
      <c r="BI47" s="22">
        <f t="shared" si="974"/>
        <v>1019.5096960000001</v>
      </c>
      <c r="BJ47" s="22">
        <f t="shared" si="975"/>
        <v>1019.5096960000001</v>
      </c>
      <c r="BK47" s="22">
        <f t="shared" si="976"/>
        <v>1019.5096960000001</v>
      </c>
      <c r="BL47" s="22">
        <f t="shared" si="977"/>
        <v>1019.5096960000001</v>
      </c>
      <c r="BM47" s="22">
        <f t="shared" si="978"/>
        <v>1019.5096960000001</v>
      </c>
      <c r="BN47" s="22">
        <f t="shared" si="979"/>
        <v>1019.5096960000001</v>
      </c>
      <c r="BO47" s="22">
        <f t="shared" si="980"/>
        <v>1019.5096960000001</v>
      </c>
      <c r="BP47" s="22">
        <f t="shared" si="981"/>
        <v>1019.5096960000001</v>
      </c>
      <c r="BQ47" s="22">
        <f t="shared" si="982"/>
        <v>1019.5096960000001</v>
      </c>
      <c r="BR47" s="30">
        <f t="shared" si="152"/>
        <v>12234.116352000005</v>
      </c>
      <c r="BS47" s="38">
        <v>1</v>
      </c>
      <c r="BT47" s="22">
        <f t="shared" si="983"/>
        <v>1080.6802777600001</v>
      </c>
      <c r="BU47" s="22">
        <f t="shared" si="984"/>
        <v>1080.6802777600001</v>
      </c>
      <c r="BV47" s="22">
        <f t="shared" si="985"/>
        <v>1080.6802777600001</v>
      </c>
      <c r="BW47" s="22">
        <f t="shared" si="986"/>
        <v>1080.6802777600001</v>
      </c>
      <c r="BX47" s="22">
        <f t="shared" si="987"/>
        <v>1080.6802777600001</v>
      </c>
      <c r="BY47" s="22">
        <f t="shared" si="988"/>
        <v>1080.6802777600001</v>
      </c>
      <c r="BZ47" s="22">
        <f t="shared" si="989"/>
        <v>1080.6802777600001</v>
      </c>
      <c r="CA47" s="22">
        <f t="shared" si="990"/>
        <v>1080.6802777600001</v>
      </c>
      <c r="CB47" s="22">
        <f t="shared" si="991"/>
        <v>1080.6802777600001</v>
      </c>
      <c r="CC47" s="22">
        <f t="shared" si="992"/>
        <v>1080.6802777600001</v>
      </c>
      <c r="CD47" s="22">
        <f t="shared" si="993"/>
        <v>1080.6802777600001</v>
      </c>
      <c r="CE47" s="22">
        <f t="shared" si="994"/>
        <v>1080.6802777600001</v>
      </c>
      <c r="CF47" s="30">
        <f t="shared" si="154"/>
        <v>12968.163333120005</v>
      </c>
      <c r="CG47" s="38">
        <v>1</v>
      </c>
      <c r="CH47" s="22">
        <f t="shared" si="995"/>
        <v>1145.5210944256</v>
      </c>
      <c r="CI47" s="22">
        <f t="shared" si="996"/>
        <v>1145.5210944256</v>
      </c>
      <c r="CJ47" s="22">
        <f t="shared" si="997"/>
        <v>1145.5210944256</v>
      </c>
      <c r="CK47" s="22">
        <f t="shared" si="998"/>
        <v>1145.5210944256</v>
      </c>
      <c r="CL47" s="22">
        <f t="shared" si="999"/>
        <v>1145.5210944256</v>
      </c>
      <c r="CM47" s="22">
        <f t="shared" si="1000"/>
        <v>1145.5210944256</v>
      </c>
      <c r="CN47" s="22">
        <f t="shared" si="1001"/>
        <v>1145.5210944256</v>
      </c>
      <c r="CO47" s="22">
        <f t="shared" si="1002"/>
        <v>1145.5210944256</v>
      </c>
      <c r="CP47" s="22">
        <f t="shared" si="1003"/>
        <v>1145.5210944256</v>
      </c>
      <c r="CQ47" s="22">
        <f t="shared" si="1004"/>
        <v>1145.5210944256</v>
      </c>
      <c r="CR47" s="22">
        <f t="shared" si="1005"/>
        <v>1145.5210944256</v>
      </c>
      <c r="CS47" s="22">
        <f t="shared" si="1006"/>
        <v>1145.5210944256</v>
      </c>
      <c r="CT47" s="30">
        <f t="shared" si="156"/>
        <v>13746.253133107197</v>
      </c>
      <c r="CU47" s="38">
        <v>1</v>
      </c>
      <c r="CV47" s="22">
        <f t="shared" si="1007"/>
        <v>1214.2523600911361</v>
      </c>
      <c r="CW47" s="22">
        <f t="shared" si="1008"/>
        <v>1214.2523600911361</v>
      </c>
      <c r="CX47" s="22">
        <f t="shared" si="1009"/>
        <v>1214.2523600911361</v>
      </c>
      <c r="CY47" s="22">
        <f t="shared" si="1010"/>
        <v>1214.2523600911361</v>
      </c>
      <c r="CZ47" s="22">
        <f t="shared" si="1011"/>
        <v>1214.2523600911361</v>
      </c>
      <c r="DA47" s="22">
        <f t="shared" si="1012"/>
        <v>1214.2523600911361</v>
      </c>
      <c r="DB47" s="22">
        <f t="shared" si="1013"/>
        <v>1214.2523600911361</v>
      </c>
      <c r="DC47" s="22">
        <f t="shared" si="1014"/>
        <v>1214.2523600911361</v>
      </c>
      <c r="DD47" s="22">
        <f t="shared" si="1015"/>
        <v>1214.2523600911361</v>
      </c>
      <c r="DE47" s="22">
        <f t="shared" si="1016"/>
        <v>1214.2523600911361</v>
      </c>
      <c r="DF47" s="22">
        <f t="shared" si="1017"/>
        <v>1214.2523600911361</v>
      </c>
      <c r="DG47" s="22">
        <f t="shared" si="1018"/>
        <v>1214.2523600911361</v>
      </c>
      <c r="DH47" s="30">
        <f t="shared" si="158"/>
        <v>14571.02832109363</v>
      </c>
      <c r="DI47" s="38">
        <v>1</v>
      </c>
      <c r="DJ47" s="22">
        <f t="shared" si="1019"/>
        <v>1287.1075016966042</v>
      </c>
      <c r="DK47" s="22">
        <f t="shared" si="1020"/>
        <v>1287.1075016966042</v>
      </c>
      <c r="DL47" s="22">
        <f t="shared" si="1021"/>
        <v>1287.1075016966042</v>
      </c>
      <c r="DM47" s="22">
        <f t="shared" si="1022"/>
        <v>1287.1075016966042</v>
      </c>
      <c r="DN47" s="22">
        <f t="shared" si="1023"/>
        <v>1287.1075016966042</v>
      </c>
      <c r="DO47" s="22">
        <f t="shared" si="1024"/>
        <v>1287.1075016966042</v>
      </c>
      <c r="DP47" s="22">
        <f t="shared" si="1025"/>
        <v>1287.1075016966042</v>
      </c>
      <c r="DQ47" s="22">
        <f t="shared" si="1026"/>
        <v>1287.1075016966042</v>
      </c>
      <c r="DR47" s="22">
        <f t="shared" si="1027"/>
        <v>1287.1075016966042</v>
      </c>
      <c r="DS47" s="22">
        <f t="shared" si="1028"/>
        <v>1287.1075016966042</v>
      </c>
      <c r="DT47" s="22">
        <f t="shared" si="1029"/>
        <v>1287.1075016966042</v>
      </c>
      <c r="DU47" s="22">
        <f t="shared" si="1030"/>
        <v>1287.1075016966042</v>
      </c>
      <c r="DV47" s="30">
        <f t="shared" si="160"/>
        <v>15445.290020359251</v>
      </c>
      <c r="DW47" s="38">
        <v>1</v>
      </c>
      <c r="DX47" s="22">
        <f t="shared" si="1031"/>
        <v>1364.3339517984004</v>
      </c>
      <c r="DY47" s="22">
        <f t="shared" si="1032"/>
        <v>1364.3339517984004</v>
      </c>
      <c r="DZ47" s="22">
        <f t="shared" si="1033"/>
        <v>1364.3339517984004</v>
      </c>
      <c r="EA47" s="22">
        <f t="shared" si="1034"/>
        <v>1364.3339517984004</v>
      </c>
      <c r="EB47" s="22">
        <f t="shared" si="1035"/>
        <v>1364.3339517984004</v>
      </c>
      <c r="EC47" s="22">
        <f t="shared" si="1036"/>
        <v>1364.3339517984004</v>
      </c>
      <c r="ED47" s="22">
        <f t="shared" si="1037"/>
        <v>1364.3339517984004</v>
      </c>
      <c r="EE47" s="22">
        <f t="shared" si="1038"/>
        <v>1364.3339517984004</v>
      </c>
      <c r="EF47" s="22">
        <f t="shared" si="1039"/>
        <v>1364.3339517984004</v>
      </c>
      <c r="EG47" s="22">
        <f t="shared" si="1040"/>
        <v>1364.3339517984004</v>
      </c>
      <c r="EH47" s="22">
        <f t="shared" si="1041"/>
        <v>1364.3339517984004</v>
      </c>
      <c r="EI47" s="22">
        <f t="shared" si="1042"/>
        <v>1364.3339517984004</v>
      </c>
      <c r="EJ47" s="30">
        <f t="shared" si="162"/>
        <v>16372.007421580805</v>
      </c>
    </row>
    <row r="48" spans="1:140">
      <c r="A48" s="8" t="s">
        <v>244</v>
      </c>
      <c r="B48" s="22">
        <v>1000</v>
      </c>
      <c r="C48" s="22">
        <f t="shared" si="1043"/>
        <v>1000</v>
      </c>
      <c r="D48" s="22">
        <f t="shared" si="1043"/>
        <v>1000</v>
      </c>
      <c r="E48" s="22">
        <f t="shared" si="1043"/>
        <v>1000</v>
      </c>
      <c r="F48" s="22">
        <f t="shared" si="1043"/>
        <v>1000</v>
      </c>
      <c r="G48" s="22">
        <f t="shared" si="1043"/>
        <v>1000</v>
      </c>
      <c r="H48" s="22">
        <f t="shared" si="1043"/>
        <v>1000</v>
      </c>
      <c r="I48" s="22">
        <f t="shared" si="1043"/>
        <v>1000</v>
      </c>
      <c r="J48" s="22">
        <f t="shared" si="1043"/>
        <v>1000</v>
      </c>
      <c r="K48" s="22">
        <f t="shared" si="1043"/>
        <v>1000</v>
      </c>
      <c r="L48" s="22">
        <f t="shared" si="1043"/>
        <v>1000</v>
      </c>
      <c r="M48" s="22">
        <f t="shared" si="1043"/>
        <v>1000</v>
      </c>
      <c r="N48" s="30">
        <f t="shared" si="144"/>
        <v>12000</v>
      </c>
      <c r="O48" s="38">
        <v>1</v>
      </c>
      <c r="P48" s="22">
        <f t="shared" si="935"/>
        <v>1070</v>
      </c>
      <c r="Q48" s="22">
        <f t="shared" si="936"/>
        <v>1070</v>
      </c>
      <c r="R48" s="22">
        <f t="shared" si="937"/>
        <v>1070</v>
      </c>
      <c r="S48" s="22">
        <f t="shared" si="938"/>
        <v>1070</v>
      </c>
      <c r="T48" s="22">
        <f t="shared" si="939"/>
        <v>1070</v>
      </c>
      <c r="U48" s="22">
        <f t="shared" si="940"/>
        <v>1070</v>
      </c>
      <c r="V48" s="22">
        <f t="shared" si="941"/>
        <v>1070</v>
      </c>
      <c r="W48" s="22">
        <f t="shared" si="942"/>
        <v>1070</v>
      </c>
      <c r="X48" s="22">
        <f t="shared" si="943"/>
        <v>1070</v>
      </c>
      <c r="Y48" s="22">
        <f t="shared" si="944"/>
        <v>1070</v>
      </c>
      <c r="Z48" s="22">
        <f t="shared" si="945"/>
        <v>1070</v>
      </c>
      <c r="AA48" s="22">
        <f t="shared" si="946"/>
        <v>1070</v>
      </c>
      <c r="AB48" s="30">
        <f t="shared" si="146"/>
        <v>12840</v>
      </c>
      <c r="AC48" s="38">
        <v>1</v>
      </c>
      <c r="AD48" s="22">
        <f t="shared" si="947"/>
        <v>1134.2</v>
      </c>
      <c r="AE48" s="22">
        <f t="shared" si="948"/>
        <v>1134.2</v>
      </c>
      <c r="AF48" s="22">
        <f t="shared" si="949"/>
        <v>1134.2</v>
      </c>
      <c r="AG48" s="22">
        <f t="shared" si="950"/>
        <v>1134.2</v>
      </c>
      <c r="AH48" s="22">
        <f t="shared" si="951"/>
        <v>1134.2</v>
      </c>
      <c r="AI48" s="22">
        <f t="shared" si="952"/>
        <v>1134.2</v>
      </c>
      <c r="AJ48" s="22">
        <f t="shared" si="953"/>
        <v>1134.2</v>
      </c>
      <c r="AK48" s="22">
        <f t="shared" si="954"/>
        <v>1134.2</v>
      </c>
      <c r="AL48" s="22">
        <f t="shared" si="955"/>
        <v>1134.2</v>
      </c>
      <c r="AM48" s="22">
        <f t="shared" si="956"/>
        <v>1134.2</v>
      </c>
      <c r="AN48" s="22">
        <f t="shared" si="957"/>
        <v>1134.2</v>
      </c>
      <c r="AO48" s="22">
        <f t="shared" si="958"/>
        <v>1134.2</v>
      </c>
      <c r="AP48" s="30">
        <f t="shared" si="148"/>
        <v>13610.400000000003</v>
      </c>
      <c r="AQ48" s="38">
        <v>1</v>
      </c>
      <c r="AR48" s="22">
        <f t="shared" si="959"/>
        <v>1202.2520000000002</v>
      </c>
      <c r="AS48" s="22">
        <f t="shared" si="960"/>
        <v>1202.2520000000002</v>
      </c>
      <c r="AT48" s="22">
        <f t="shared" si="961"/>
        <v>1202.2520000000002</v>
      </c>
      <c r="AU48" s="22">
        <f t="shared" si="962"/>
        <v>1202.2520000000002</v>
      </c>
      <c r="AV48" s="22">
        <f t="shared" si="963"/>
        <v>1202.2520000000002</v>
      </c>
      <c r="AW48" s="22">
        <f t="shared" si="964"/>
        <v>1202.2520000000002</v>
      </c>
      <c r="AX48" s="22">
        <f t="shared" si="965"/>
        <v>1202.2520000000002</v>
      </c>
      <c r="AY48" s="22">
        <f t="shared" si="966"/>
        <v>1202.2520000000002</v>
      </c>
      <c r="AZ48" s="22">
        <f t="shared" si="967"/>
        <v>1202.2520000000002</v>
      </c>
      <c r="BA48" s="22">
        <f t="shared" si="968"/>
        <v>1202.2520000000002</v>
      </c>
      <c r="BB48" s="22">
        <f t="shared" si="969"/>
        <v>1202.2520000000002</v>
      </c>
      <c r="BC48" s="22">
        <f t="shared" si="970"/>
        <v>1202.2520000000002</v>
      </c>
      <c r="BD48" s="30">
        <f t="shared" si="150"/>
        <v>14427.024000000003</v>
      </c>
      <c r="BE48" s="38">
        <v>1</v>
      </c>
      <c r="BF48" s="22">
        <f t="shared" si="971"/>
        <v>1274.3871200000003</v>
      </c>
      <c r="BG48" s="22">
        <f t="shared" si="972"/>
        <v>1274.3871200000003</v>
      </c>
      <c r="BH48" s="22">
        <f t="shared" si="973"/>
        <v>1274.3871200000003</v>
      </c>
      <c r="BI48" s="22">
        <f t="shared" si="974"/>
        <v>1274.3871200000003</v>
      </c>
      <c r="BJ48" s="22">
        <f t="shared" si="975"/>
        <v>1274.3871200000003</v>
      </c>
      <c r="BK48" s="22">
        <f t="shared" si="976"/>
        <v>1274.3871200000003</v>
      </c>
      <c r="BL48" s="22">
        <f t="shared" si="977"/>
        <v>1274.3871200000003</v>
      </c>
      <c r="BM48" s="22">
        <f t="shared" si="978"/>
        <v>1274.3871200000003</v>
      </c>
      <c r="BN48" s="22">
        <f t="shared" si="979"/>
        <v>1274.3871200000003</v>
      </c>
      <c r="BO48" s="22">
        <f t="shared" si="980"/>
        <v>1274.3871200000003</v>
      </c>
      <c r="BP48" s="22">
        <f t="shared" si="981"/>
        <v>1274.3871200000003</v>
      </c>
      <c r="BQ48" s="22">
        <f t="shared" si="982"/>
        <v>1274.3871200000003</v>
      </c>
      <c r="BR48" s="30">
        <f t="shared" si="152"/>
        <v>15292.64544</v>
      </c>
      <c r="BS48" s="38">
        <v>1</v>
      </c>
      <c r="BT48" s="22">
        <f t="shared" si="983"/>
        <v>1350.8503472000004</v>
      </c>
      <c r="BU48" s="22">
        <f t="shared" si="984"/>
        <v>1350.8503472000004</v>
      </c>
      <c r="BV48" s="22">
        <f t="shared" si="985"/>
        <v>1350.8503472000004</v>
      </c>
      <c r="BW48" s="22">
        <f t="shared" si="986"/>
        <v>1350.8503472000004</v>
      </c>
      <c r="BX48" s="22">
        <f t="shared" si="987"/>
        <v>1350.8503472000004</v>
      </c>
      <c r="BY48" s="22">
        <f t="shared" si="988"/>
        <v>1350.8503472000004</v>
      </c>
      <c r="BZ48" s="22">
        <f t="shared" si="989"/>
        <v>1350.8503472000004</v>
      </c>
      <c r="CA48" s="22">
        <f t="shared" si="990"/>
        <v>1350.8503472000004</v>
      </c>
      <c r="CB48" s="22">
        <f t="shared" si="991"/>
        <v>1350.8503472000004</v>
      </c>
      <c r="CC48" s="22">
        <f t="shared" si="992"/>
        <v>1350.8503472000004</v>
      </c>
      <c r="CD48" s="22">
        <f t="shared" si="993"/>
        <v>1350.8503472000004</v>
      </c>
      <c r="CE48" s="22">
        <f t="shared" si="994"/>
        <v>1350.8503472000004</v>
      </c>
      <c r="CF48" s="30">
        <f t="shared" si="154"/>
        <v>16210.204166400008</v>
      </c>
      <c r="CG48" s="38">
        <v>1</v>
      </c>
      <c r="CH48" s="22">
        <f t="shared" si="995"/>
        <v>1431.9013680320006</v>
      </c>
      <c r="CI48" s="22">
        <f t="shared" si="996"/>
        <v>1431.9013680320006</v>
      </c>
      <c r="CJ48" s="22">
        <f t="shared" si="997"/>
        <v>1431.9013680320006</v>
      </c>
      <c r="CK48" s="22">
        <f t="shared" si="998"/>
        <v>1431.9013680320006</v>
      </c>
      <c r="CL48" s="22">
        <f t="shared" si="999"/>
        <v>1431.9013680320006</v>
      </c>
      <c r="CM48" s="22">
        <f t="shared" si="1000"/>
        <v>1431.9013680320006</v>
      </c>
      <c r="CN48" s="22">
        <f t="shared" si="1001"/>
        <v>1431.9013680320006</v>
      </c>
      <c r="CO48" s="22">
        <f t="shared" si="1002"/>
        <v>1431.9013680320006</v>
      </c>
      <c r="CP48" s="22">
        <f t="shared" si="1003"/>
        <v>1431.9013680320006</v>
      </c>
      <c r="CQ48" s="22">
        <f t="shared" si="1004"/>
        <v>1431.9013680320006</v>
      </c>
      <c r="CR48" s="22">
        <f t="shared" si="1005"/>
        <v>1431.9013680320006</v>
      </c>
      <c r="CS48" s="22">
        <f t="shared" si="1006"/>
        <v>1431.9013680320006</v>
      </c>
      <c r="CT48" s="30">
        <f t="shared" si="156"/>
        <v>17182.816416384008</v>
      </c>
      <c r="CU48" s="38">
        <v>1</v>
      </c>
      <c r="CV48" s="22">
        <f t="shared" si="1007"/>
        <v>1517.8154501139206</v>
      </c>
      <c r="CW48" s="22">
        <f t="shared" si="1008"/>
        <v>1517.8154501139206</v>
      </c>
      <c r="CX48" s="22">
        <f t="shared" si="1009"/>
        <v>1517.8154501139206</v>
      </c>
      <c r="CY48" s="22">
        <f t="shared" si="1010"/>
        <v>1517.8154501139206</v>
      </c>
      <c r="CZ48" s="22">
        <f t="shared" si="1011"/>
        <v>1517.8154501139206</v>
      </c>
      <c r="DA48" s="22">
        <f t="shared" si="1012"/>
        <v>1517.8154501139206</v>
      </c>
      <c r="DB48" s="22">
        <f t="shared" si="1013"/>
        <v>1517.8154501139206</v>
      </c>
      <c r="DC48" s="22">
        <f t="shared" si="1014"/>
        <v>1517.8154501139206</v>
      </c>
      <c r="DD48" s="22">
        <f t="shared" si="1015"/>
        <v>1517.8154501139206</v>
      </c>
      <c r="DE48" s="22">
        <f t="shared" si="1016"/>
        <v>1517.8154501139206</v>
      </c>
      <c r="DF48" s="22">
        <f t="shared" si="1017"/>
        <v>1517.8154501139206</v>
      </c>
      <c r="DG48" s="22">
        <f t="shared" si="1018"/>
        <v>1517.8154501139206</v>
      </c>
      <c r="DH48" s="30">
        <f t="shared" si="158"/>
        <v>18213.785401367051</v>
      </c>
      <c r="DI48" s="38">
        <v>1</v>
      </c>
      <c r="DJ48" s="22">
        <f t="shared" si="1019"/>
        <v>1608.884377120756</v>
      </c>
      <c r="DK48" s="22">
        <f t="shared" si="1020"/>
        <v>1608.884377120756</v>
      </c>
      <c r="DL48" s="22">
        <f t="shared" si="1021"/>
        <v>1608.884377120756</v>
      </c>
      <c r="DM48" s="22">
        <f t="shared" si="1022"/>
        <v>1608.884377120756</v>
      </c>
      <c r="DN48" s="22">
        <f t="shared" si="1023"/>
        <v>1608.884377120756</v>
      </c>
      <c r="DO48" s="22">
        <f t="shared" si="1024"/>
        <v>1608.884377120756</v>
      </c>
      <c r="DP48" s="22">
        <f t="shared" si="1025"/>
        <v>1608.884377120756</v>
      </c>
      <c r="DQ48" s="22">
        <f t="shared" si="1026"/>
        <v>1608.884377120756</v>
      </c>
      <c r="DR48" s="22">
        <f t="shared" si="1027"/>
        <v>1608.884377120756</v>
      </c>
      <c r="DS48" s="22">
        <f t="shared" si="1028"/>
        <v>1608.884377120756</v>
      </c>
      <c r="DT48" s="22">
        <f t="shared" si="1029"/>
        <v>1608.884377120756</v>
      </c>
      <c r="DU48" s="22">
        <f t="shared" si="1030"/>
        <v>1608.884377120756</v>
      </c>
      <c r="DV48" s="30">
        <f t="shared" si="160"/>
        <v>19306.612525449073</v>
      </c>
      <c r="DW48" s="38">
        <v>1</v>
      </c>
      <c r="DX48" s="22">
        <f t="shared" si="1031"/>
        <v>1705.4174397480015</v>
      </c>
      <c r="DY48" s="22">
        <f t="shared" si="1032"/>
        <v>1705.4174397480015</v>
      </c>
      <c r="DZ48" s="22">
        <f t="shared" si="1033"/>
        <v>1705.4174397480015</v>
      </c>
      <c r="EA48" s="22">
        <f t="shared" si="1034"/>
        <v>1705.4174397480015</v>
      </c>
      <c r="EB48" s="22">
        <f t="shared" si="1035"/>
        <v>1705.4174397480015</v>
      </c>
      <c r="EC48" s="22">
        <f t="shared" si="1036"/>
        <v>1705.4174397480015</v>
      </c>
      <c r="ED48" s="22">
        <f t="shared" si="1037"/>
        <v>1705.4174397480015</v>
      </c>
      <c r="EE48" s="22">
        <f t="shared" si="1038"/>
        <v>1705.4174397480015</v>
      </c>
      <c r="EF48" s="22">
        <f t="shared" si="1039"/>
        <v>1705.4174397480015</v>
      </c>
      <c r="EG48" s="22">
        <f t="shared" si="1040"/>
        <v>1705.4174397480015</v>
      </c>
      <c r="EH48" s="22">
        <f t="shared" si="1041"/>
        <v>1705.4174397480015</v>
      </c>
      <c r="EI48" s="22">
        <f t="shared" si="1042"/>
        <v>1705.4174397480015</v>
      </c>
      <c r="EJ48" s="30">
        <f t="shared" si="162"/>
        <v>20465.009276976019</v>
      </c>
    </row>
    <row r="49" spans="1:140">
      <c r="A49" s="18" t="s">
        <v>245</v>
      </c>
      <c r="B49" s="30">
        <f>SUM(B50:B51)</f>
        <v>25000</v>
      </c>
      <c r="C49" s="30">
        <f t="shared" ref="C49:M49" si="1044">SUM(C50:C51)</f>
        <v>25000</v>
      </c>
      <c r="D49" s="30">
        <f t="shared" si="1044"/>
        <v>25000</v>
      </c>
      <c r="E49" s="30">
        <f t="shared" si="1044"/>
        <v>25000</v>
      </c>
      <c r="F49" s="30">
        <f t="shared" si="1044"/>
        <v>25000</v>
      </c>
      <c r="G49" s="30">
        <f t="shared" si="1044"/>
        <v>25000</v>
      </c>
      <c r="H49" s="30">
        <f t="shared" si="1044"/>
        <v>25000</v>
      </c>
      <c r="I49" s="30">
        <f t="shared" si="1044"/>
        <v>25000</v>
      </c>
      <c r="J49" s="30">
        <f t="shared" si="1044"/>
        <v>25000</v>
      </c>
      <c r="K49" s="30">
        <f t="shared" si="1044"/>
        <v>25000</v>
      </c>
      <c r="L49" s="30">
        <f t="shared" si="1044"/>
        <v>25000</v>
      </c>
      <c r="M49" s="30">
        <f t="shared" si="1044"/>
        <v>25000</v>
      </c>
      <c r="N49" s="30">
        <f t="shared" si="144"/>
        <v>300000</v>
      </c>
      <c r="O49" s="38"/>
      <c r="P49" s="30">
        <f>SUM(P50:P51)</f>
        <v>27071</v>
      </c>
      <c r="Q49" s="30">
        <f t="shared" ref="Q49" si="1045">SUM(Q50:Q51)</f>
        <v>27071</v>
      </c>
      <c r="R49" s="30">
        <f t="shared" ref="R49" si="1046">SUM(R50:R51)</f>
        <v>27071</v>
      </c>
      <c r="S49" s="30">
        <f t="shared" ref="S49" si="1047">SUM(S50:S51)</f>
        <v>27071</v>
      </c>
      <c r="T49" s="30">
        <f t="shared" ref="T49" si="1048">SUM(T50:T51)</f>
        <v>27071</v>
      </c>
      <c r="U49" s="30">
        <f t="shared" ref="U49" si="1049">SUM(U50:U51)</f>
        <v>27071</v>
      </c>
      <c r="V49" s="30">
        <f t="shared" ref="V49" si="1050">SUM(V50:V51)</f>
        <v>27071</v>
      </c>
      <c r="W49" s="30">
        <f t="shared" ref="W49" si="1051">SUM(W50:W51)</f>
        <v>27071</v>
      </c>
      <c r="X49" s="30">
        <f t="shared" ref="X49" si="1052">SUM(X50:X51)</f>
        <v>27071</v>
      </c>
      <c r="Y49" s="30">
        <f t="shared" ref="Y49" si="1053">SUM(Y50:Y51)</f>
        <v>27071</v>
      </c>
      <c r="Z49" s="30">
        <f t="shared" ref="Z49" si="1054">SUM(Z50:Z51)</f>
        <v>27071</v>
      </c>
      <c r="AA49" s="30">
        <f t="shared" ref="AA49" si="1055">SUM(AA50:AA51)</f>
        <v>27071</v>
      </c>
      <c r="AB49" s="30">
        <f t="shared" si="146"/>
        <v>324852</v>
      </c>
      <c r="AC49" s="38"/>
      <c r="AD49" s="30">
        <f>SUM(AD50:AD51)</f>
        <v>29279.373000000007</v>
      </c>
      <c r="AE49" s="30">
        <f t="shared" ref="AE49" si="1056">SUM(AE50:AE51)</f>
        <v>29279.373000000007</v>
      </c>
      <c r="AF49" s="30">
        <f t="shared" ref="AF49" si="1057">SUM(AF50:AF51)</f>
        <v>29279.373000000007</v>
      </c>
      <c r="AG49" s="30">
        <f t="shared" ref="AG49" si="1058">SUM(AG50:AG51)</f>
        <v>29279.373000000007</v>
      </c>
      <c r="AH49" s="30">
        <f t="shared" ref="AH49" si="1059">SUM(AH50:AH51)</f>
        <v>29279.373000000007</v>
      </c>
      <c r="AI49" s="30">
        <f t="shared" ref="AI49" si="1060">SUM(AI50:AI51)</f>
        <v>29279.373000000007</v>
      </c>
      <c r="AJ49" s="30">
        <f t="shared" ref="AJ49" si="1061">SUM(AJ50:AJ51)</f>
        <v>29279.373000000007</v>
      </c>
      <c r="AK49" s="30">
        <f t="shared" ref="AK49" si="1062">SUM(AK50:AK51)</f>
        <v>29279.373000000007</v>
      </c>
      <c r="AL49" s="30">
        <f t="shared" ref="AL49" si="1063">SUM(AL50:AL51)</f>
        <v>29279.373000000007</v>
      </c>
      <c r="AM49" s="30">
        <f t="shared" ref="AM49" si="1064">SUM(AM50:AM51)</f>
        <v>29279.373000000007</v>
      </c>
      <c r="AN49" s="30">
        <f t="shared" ref="AN49" si="1065">SUM(AN50:AN51)</f>
        <v>29279.373000000007</v>
      </c>
      <c r="AO49" s="30">
        <f t="shared" ref="AO49" si="1066">SUM(AO50:AO51)</f>
        <v>29279.373000000007</v>
      </c>
      <c r="AP49" s="30">
        <f t="shared" si="148"/>
        <v>351352.4760000002</v>
      </c>
      <c r="AQ49" s="38"/>
      <c r="AR49" s="30">
        <f>SUM(AR50:AR51)</f>
        <v>31686.253149000011</v>
      </c>
      <c r="AS49" s="30">
        <f t="shared" ref="AS49" si="1067">SUM(AS50:AS51)</f>
        <v>31686.253149000011</v>
      </c>
      <c r="AT49" s="30">
        <f t="shared" ref="AT49" si="1068">SUM(AT50:AT51)</f>
        <v>31686.253149000011</v>
      </c>
      <c r="AU49" s="30">
        <f t="shared" ref="AU49" si="1069">SUM(AU50:AU51)</f>
        <v>31686.253149000011</v>
      </c>
      <c r="AV49" s="30">
        <f t="shared" ref="AV49" si="1070">SUM(AV50:AV51)</f>
        <v>31686.253149000011</v>
      </c>
      <c r="AW49" s="30">
        <f t="shared" ref="AW49" si="1071">SUM(AW50:AW51)</f>
        <v>31686.253149000011</v>
      </c>
      <c r="AX49" s="30">
        <f t="shared" ref="AX49" si="1072">SUM(AX50:AX51)</f>
        <v>31686.253149000011</v>
      </c>
      <c r="AY49" s="30">
        <f t="shared" ref="AY49" si="1073">SUM(AY50:AY51)</f>
        <v>31686.253149000011</v>
      </c>
      <c r="AZ49" s="30">
        <f t="shared" ref="AZ49" si="1074">SUM(AZ50:AZ51)</f>
        <v>31686.253149000011</v>
      </c>
      <c r="BA49" s="30">
        <f t="shared" ref="BA49" si="1075">SUM(BA50:BA51)</f>
        <v>31686.253149000011</v>
      </c>
      <c r="BB49" s="30">
        <f t="shared" ref="BB49" si="1076">SUM(BB50:BB51)</f>
        <v>31686.253149000011</v>
      </c>
      <c r="BC49" s="30">
        <f t="shared" ref="BC49" si="1077">SUM(BC50:BC51)</f>
        <v>31686.253149000011</v>
      </c>
      <c r="BD49" s="30">
        <f t="shared" si="150"/>
        <v>380235.03778800002</v>
      </c>
      <c r="BE49" s="38"/>
      <c r="BF49" s="30">
        <f>SUM(BF50:BF51)</f>
        <v>34311.009414837012</v>
      </c>
      <c r="BG49" s="30">
        <f t="shared" ref="BG49" si="1078">SUM(BG50:BG51)</f>
        <v>34311.009414837012</v>
      </c>
      <c r="BH49" s="30">
        <f t="shared" ref="BH49" si="1079">SUM(BH50:BH51)</f>
        <v>34311.009414837012</v>
      </c>
      <c r="BI49" s="30">
        <f t="shared" ref="BI49" si="1080">SUM(BI50:BI51)</f>
        <v>34311.009414837012</v>
      </c>
      <c r="BJ49" s="30">
        <f t="shared" ref="BJ49" si="1081">SUM(BJ50:BJ51)</f>
        <v>34311.009414837012</v>
      </c>
      <c r="BK49" s="30">
        <f t="shared" ref="BK49" si="1082">SUM(BK50:BK51)</f>
        <v>34311.009414837012</v>
      </c>
      <c r="BL49" s="30">
        <f t="shared" ref="BL49" si="1083">SUM(BL50:BL51)</f>
        <v>34311.009414837012</v>
      </c>
      <c r="BM49" s="30">
        <f t="shared" ref="BM49" si="1084">SUM(BM50:BM51)</f>
        <v>34311.009414837012</v>
      </c>
      <c r="BN49" s="30">
        <f t="shared" ref="BN49" si="1085">SUM(BN50:BN51)</f>
        <v>34311.009414837012</v>
      </c>
      <c r="BO49" s="30">
        <f t="shared" ref="BO49" si="1086">SUM(BO50:BO51)</f>
        <v>34311.009414837012</v>
      </c>
      <c r="BP49" s="30">
        <f t="shared" ref="BP49" si="1087">SUM(BP50:BP51)</f>
        <v>34311.009414837012</v>
      </c>
      <c r="BQ49" s="30">
        <f t="shared" ref="BQ49" si="1088">SUM(BQ50:BQ51)</f>
        <v>34311.009414837012</v>
      </c>
      <c r="BR49" s="30">
        <f t="shared" si="152"/>
        <v>411732.11297804402</v>
      </c>
      <c r="BS49" s="38"/>
      <c r="BT49" s="30">
        <f>SUM(BT50:BT51)</f>
        <v>37175.015718313589</v>
      </c>
      <c r="BU49" s="30">
        <f t="shared" ref="BU49" si="1089">SUM(BU50:BU51)</f>
        <v>37175.015718313589</v>
      </c>
      <c r="BV49" s="30">
        <f t="shared" ref="BV49" si="1090">SUM(BV50:BV51)</f>
        <v>37175.015718313589</v>
      </c>
      <c r="BW49" s="30">
        <f t="shared" ref="BW49" si="1091">SUM(BW50:BW51)</f>
        <v>37175.015718313589</v>
      </c>
      <c r="BX49" s="30">
        <f t="shared" ref="BX49" si="1092">SUM(BX50:BX51)</f>
        <v>37175.015718313589</v>
      </c>
      <c r="BY49" s="30">
        <f t="shared" ref="BY49" si="1093">SUM(BY50:BY51)</f>
        <v>37175.015718313589</v>
      </c>
      <c r="BZ49" s="30">
        <f t="shared" ref="BZ49" si="1094">SUM(BZ50:BZ51)</f>
        <v>37175.015718313589</v>
      </c>
      <c r="CA49" s="30">
        <f t="shared" ref="CA49" si="1095">SUM(CA50:CA51)</f>
        <v>37175.015718313589</v>
      </c>
      <c r="CB49" s="30">
        <f t="shared" ref="CB49" si="1096">SUM(CB50:CB51)</f>
        <v>37175.015718313589</v>
      </c>
      <c r="CC49" s="30">
        <f t="shared" ref="CC49" si="1097">SUM(CC50:CC51)</f>
        <v>37175.015718313589</v>
      </c>
      <c r="CD49" s="30">
        <f t="shared" ref="CD49" si="1098">SUM(CD50:CD51)</f>
        <v>37175.015718313589</v>
      </c>
      <c r="CE49" s="30">
        <f t="shared" ref="CE49" si="1099">SUM(CE50:CE51)</f>
        <v>37175.015718313589</v>
      </c>
      <c r="CF49" s="30">
        <f t="shared" si="154"/>
        <v>446100.18861976295</v>
      </c>
      <c r="CG49" s="38"/>
      <c r="CH49" s="30">
        <f>SUM(CH50:CH51)</f>
        <v>40301.866468459033</v>
      </c>
      <c r="CI49" s="30">
        <f t="shared" ref="CI49" si="1100">SUM(CI50:CI51)</f>
        <v>40301.866468459033</v>
      </c>
      <c r="CJ49" s="30">
        <f t="shared" ref="CJ49" si="1101">SUM(CJ50:CJ51)</f>
        <v>40301.866468459033</v>
      </c>
      <c r="CK49" s="30">
        <f t="shared" ref="CK49" si="1102">SUM(CK50:CK51)</f>
        <v>40301.866468459033</v>
      </c>
      <c r="CL49" s="30">
        <f t="shared" ref="CL49" si="1103">SUM(CL50:CL51)</f>
        <v>40301.866468459033</v>
      </c>
      <c r="CM49" s="30">
        <f t="shared" ref="CM49" si="1104">SUM(CM50:CM51)</f>
        <v>40301.866468459033</v>
      </c>
      <c r="CN49" s="30">
        <f t="shared" ref="CN49" si="1105">SUM(CN50:CN51)</f>
        <v>40301.866468459033</v>
      </c>
      <c r="CO49" s="30">
        <f t="shared" ref="CO49" si="1106">SUM(CO50:CO51)</f>
        <v>40301.866468459033</v>
      </c>
      <c r="CP49" s="30">
        <f t="shared" ref="CP49" si="1107">SUM(CP50:CP51)</f>
        <v>40301.866468459033</v>
      </c>
      <c r="CQ49" s="30">
        <f t="shared" ref="CQ49" si="1108">SUM(CQ50:CQ51)</f>
        <v>40301.866468459033</v>
      </c>
      <c r="CR49" s="30">
        <f t="shared" ref="CR49" si="1109">SUM(CR50:CR51)</f>
        <v>40301.866468459033</v>
      </c>
      <c r="CS49" s="30">
        <f t="shared" ref="CS49" si="1110">SUM(CS50:CS51)</f>
        <v>40301.866468459033</v>
      </c>
      <c r="CT49" s="30">
        <f t="shared" si="156"/>
        <v>483622.39762150828</v>
      </c>
      <c r="CU49" s="38"/>
      <c r="CV49" s="30">
        <f>SUM(CV50:CV51)</f>
        <v>43717.615791809461</v>
      </c>
      <c r="CW49" s="30">
        <f t="shared" ref="CW49" si="1111">SUM(CW50:CW51)</f>
        <v>43717.615791809461</v>
      </c>
      <c r="CX49" s="30">
        <f t="shared" ref="CX49" si="1112">SUM(CX50:CX51)</f>
        <v>43717.615791809461</v>
      </c>
      <c r="CY49" s="30">
        <f t="shared" ref="CY49" si="1113">SUM(CY50:CY51)</f>
        <v>43717.615791809461</v>
      </c>
      <c r="CZ49" s="30">
        <f t="shared" ref="CZ49" si="1114">SUM(CZ50:CZ51)</f>
        <v>43717.615791809461</v>
      </c>
      <c r="DA49" s="30">
        <f t="shared" ref="DA49" si="1115">SUM(DA50:DA51)</f>
        <v>43717.615791809461</v>
      </c>
      <c r="DB49" s="30">
        <f t="shared" ref="DB49" si="1116">SUM(DB50:DB51)</f>
        <v>43717.615791809461</v>
      </c>
      <c r="DC49" s="30">
        <f t="shared" ref="DC49" si="1117">SUM(DC50:DC51)</f>
        <v>43717.615791809461</v>
      </c>
      <c r="DD49" s="30">
        <f t="shared" ref="DD49" si="1118">SUM(DD50:DD51)</f>
        <v>43717.615791809461</v>
      </c>
      <c r="DE49" s="30">
        <f t="shared" ref="DE49" si="1119">SUM(DE50:DE51)</f>
        <v>43717.615791809461</v>
      </c>
      <c r="DF49" s="30">
        <f t="shared" ref="DF49" si="1120">SUM(DF50:DF51)</f>
        <v>43717.615791809461</v>
      </c>
      <c r="DG49" s="30">
        <f t="shared" ref="DG49" si="1121">SUM(DG50:DG51)</f>
        <v>43717.615791809461</v>
      </c>
      <c r="DH49" s="30">
        <f t="shared" si="158"/>
        <v>524611.38950171357</v>
      </c>
      <c r="DI49" s="38"/>
      <c r="DJ49" s="30">
        <f>SUM(DJ50:DJ51)</f>
        <v>47451.043093443368</v>
      </c>
      <c r="DK49" s="30">
        <f t="shared" ref="DK49" si="1122">SUM(DK50:DK51)</f>
        <v>47451.043093443368</v>
      </c>
      <c r="DL49" s="30">
        <f t="shared" ref="DL49" si="1123">SUM(DL50:DL51)</f>
        <v>47451.043093443368</v>
      </c>
      <c r="DM49" s="30">
        <f t="shared" ref="DM49" si="1124">SUM(DM50:DM51)</f>
        <v>47451.043093443368</v>
      </c>
      <c r="DN49" s="30">
        <f t="shared" ref="DN49" si="1125">SUM(DN50:DN51)</f>
        <v>47451.043093443368</v>
      </c>
      <c r="DO49" s="30">
        <f t="shared" ref="DO49" si="1126">SUM(DO50:DO51)</f>
        <v>47451.043093443368</v>
      </c>
      <c r="DP49" s="30">
        <f t="shared" ref="DP49" si="1127">SUM(DP50:DP51)</f>
        <v>47451.043093443368</v>
      </c>
      <c r="DQ49" s="30">
        <f t="shared" ref="DQ49" si="1128">SUM(DQ50:DQ51)</f>
        <v>47451.043093443368</v>
      </c>
      <c r="DR49" s="30">
        <f t="shared" ref="DR49" si="1129">SUM(DR50:DR51)</f>
        <v>47451.043093443368</v>
      </c>
      <c r="DS49" s="30">
        <f t="shared" ref="DS49" si="1130">SUM(DS50:DS51)</f>
        <v>47451.043093443368</v>
      </c>
      <c r="DT49" s="30">
        <f t="shared" ref="DT49" si="1131">SUM(DT50:DT51)</f>
        <v>47451.043093443368</v>
      </c>
      <c r="DU49" s="30">
        <f t="shared" ref="DU49" si="1132">SUM(DU50:DU51)</f>
        <v>47451.043093443368</v>
      </c>
      <c r="DV49" s="30">
        <f t="shared" si="160"/>
        <v>569412.51712132047</v>
      </c>
      <c r="DW49" s="38"/>
      <c r="DX49" s="30">
        <f>SUM(DX50:DX51)</f>
        <v>51533.947883191468</v>
      </c>
      <c r="DY49" s="30">
        <f t="shared" ref="DY49" si="1133">SUM(DY50:DY51)</f>
        <v>51533.947883191468</v>
      </c>
      <c r="DZ49" s="30">
        <f t="shared" ref="DZ49" si="1134">SUM(DZ50:DZ51)</f>
        <v>51533.947883191468</v>
      </c>
      <c r="EA49" s="30">
        <f t="shared" ref="EA49" si="1135">SUM(EA50:EA51)</f>
        <v>51533.947883191468</v>
      </c>
      <c r="EB49" s="30">
        <f t="shared" ref="EB49" si="1136">SUM(EB50:EB51)</f>
        <v>51533.947883191468</v>
      </c>
      <c r="EC49" s="30">
        <f t="shared" ref="EC49" si="1137">SUM(EC50:EC51)</f>
        <v>51533.947883191468</v>
      </c>
      <c r="ED49" s="30">
        <f t="shared" ref="ED49" si="1138">SUM(ED50:ED51)</f>
        <v>51533.947883191468</v>
      </c>
      <c r="EE49" s="30">
        <f t="shared" ref="EE49" si="1139">SUM(EE50:EE51)</f>
        <v>51533.947883191468</v>
      </c>
      <c r="EF49" s="30">
        <f t="shared" ref="EF49" si="1140">SUM(EF50:EF51)</f>
        <v>51533.947883191468</v>
      </c>
      <c r="EG49" s="30">
        <f t="shared" ref="EG49" si="1141">SUM(EG50:EG51)</f>
        <v>51533.947883191468</v>
      </c>
      <c r="EH49" s="30">
        <f t="shared" ref="EH49" si="1142">SUM(EH50:EH51)</f>
        <v>51533.947883191468</v>
      </c>
      <c r="EI49" s="30">
        <f t="shared" ref="EI49" si="1143">SUM(EI50:EI51)</f>
        <v>51533.947883191468</v>
      </c>
      <c r="EJ49" s="30">
        <f t="shared" si="162"/>
        <v>618407.37459829764</v>
      </c>
    </row>
    <row r="50" spans="1:140">
      <c r="A50" s="8" t="s">
        <v>93</v>
      </c>
      <c r="B50" s="22">
        <v>15000</v>
      </c>
      <c r="C50" s="22">
        <f>B50</f>
        <v>15000</v>
      </c>
      <c r="D50" s="22">
        <f t="shared" ref="D50:M50" si="1144">C50</f>
        <v>15000</v>
      </c>
      <c r="E50" s="22">
        <f t="shared" si="1144"/>
        <v>15000</v>
      </c>
      <c r="F50" s="22">
        <f t="shared" si="1144"/>
        <v>15000</v>
      </c>
      <c r="G50" s="22">
        <f t="shared" si="1144"/>
        <v>15000</v>
      </c>
      <c r="H50" s="22">
        <f t="shared" si="1144"/>
        <v>15000</v>
      </c>
      <c r="I50" s="22">
        <f t="shared" si="1144"/>
        <v>15000</v>
      </c>
      <c r="J50" s="22">
        <f t="shared" si="1144"/>
        <v>15000</v>
      </c>
      <c r="K50" s="22">
        <f t="shared" si="1144"/>
        <v>15000</v>
      </c>
      <c r="L50" s="22">
        <f t="shared" si="1144"/>
        <v>15000</v>
      </c>
      <c r="M50" s="22">
        <f t="shared" si="1144"/>
        <v>15000</v>
      </c>
      <c r="N50" s="30">
        <f t="shared" si="144"/>
        <v>180000</v>
      </c>
      <c r="O50" s="38">
        <v>1</v>
      </c>
      <c r="P50" s="22">
        <f>$O50*B50*(1+$P$4)</f>
        <v>16050.000000000002</v>
      </c>
      <c r="Q50" s="22">
        <f t="shared" ref="Q50:AA50" si="1145">$O50*C50*(1+$P$4)</f>
        <v>16050.000000000002</v>
      </c>
      <c r="R50" s="22">
        <f t="shared" si="1145"/>
        <v>16050.000000000002</v>
      </c>
      <c r="S50" s="22">
        <f t="shared" si="1145"/>
        <v>16050.000000000002</v>
      </c>
      <c r="T50" s="22">
        <f t="shared" si="1145"/>
        <v>16050.000000000002</v>
      </c>
      <c r="U50" s="22">
        <f t="shared" si="1145"/>
        <v>16050.000000000002</v>
      </c>
      <c r="V50" s="22">
        <f t="shared" si="1145"/>
        <v>16050.000000000002</v>
      </c>
      <c r="W50" s="22">
        <f t="shared" si="1145"/>
        <v>16050.000000000002</v>
      </c>
      <c r="X50" s="22">
        <f t="shared" si="1145"/>
        <v>16050.000000000002</v>
      </c>
      <c r="Y50" s="22">
        <f t="shared" si="1145"/>
        <v>16050.000000000002</v>
      </c>
      <c r="Z50" s="22">
        <f t="shared" si="1145"/>
        <v>16050.000000000002</v>
      </c>
      <c r="AA50" s="22">
        <f t="shared" si="1145"/>
        <v>16050.000000000002</v>
      </c>
      <c r="AB50" s="30">
        <f t="shared" si="146"/>
        <v>192600.00000000003</v>
      </c>
      <c r="AC50" s="38">
        <v>1</v>
      </c>
      <c r="AD50" s="22">
        <f>$AC50*P50*(1+$AD$4)</f>
        <v>17013.000000000004</v>
      </c>
      <c r="AE50" s="22">
        <f t="shared" ref="AE50:AO50" si="1146">$AC50*Q50*(1+$AD$4)</f>
        <v>17013.000000000004</v>
      </c>
      <c r="AF50" s="22">
        <f t="shared" si="1146"/>
        <v>17013.000000000004</v>
      </c>
      <c r="AG50" s="22">
        <f t="shared" si="1146"/>
        <v>17013.000000000004</v>
      </c>
      <c r="AH50" s="22">
        <f t="shared" si="1146"/>
        <v>17013.000000000004</v>
      </c>
      <c r="AI50" s="22">
        <f t="shared" si="1146"/>
        <v>17013.000000000004</v>
      </c>
      <c r="AJ50" s="22">
        <f t="shared" si="1146"/>
        <v>17013.000000000004</v>
      </c>
      <c r="AK50" s="22">
        <f t="shared" si="1146"/>
        <v>17013.000000000004</v>
      </c>
      <c r="AL50" s="22">
        <f t="shared" si="1146"/>
        <v>17013.000000000004</v>
      </c>
      <c r="AM50" s="22">
        <f t="shared" si="1146"/>
        <v>17013.000000000004</v>
      </c>
      <c r="AN50" s="22">
        <f t="shared" si="1146"/>
        <v>17013.000000000004</v>
      </c>
      <c r="AO50" s="22">
        <f t="shared" si="1146"/>
        <v>17013.000000000004</v>
      </c>
      <c r="AP50" s="30">
        <f t="shared" si="148"/>
        <v>204156.00000000003</v>
      </c>
      <c r="AQ50" s="38">
        <v>1</v>
      </c>
      <c r="AR50" s="22">
        <f>$AQ50*AD50*(1+$AR$4)</f>
        <v>18033.780000000006</v>
      </c>
      <c r="AS50" s="22">
        <f t="shared" ref="AS50:BC50" si="1147">$AQ50*AE50*(1+$AR$4)</f>
        <v>18033.780000000006</v>
      </c>
      <c r="AT50" s="22">
        <f t="shared" si="1147"/>
        <v>18033.780000000006</v>
      </c>
      <c r="AU50" s="22">
        <f t="shared" si="1147"/>
        <v>18033.780000000006</v>
      </c>
      <c r="AV50" s="22">
        <f t="shared" si="1147"/>
        <v>18033.780000000006</v>
      </c>
      <c r="AW50" s="22">
        <f t="shared" si="1147"/>
        <v>18033.780000000006</v>
      </c>
      <c r="AX50" s="22">
        <f t="shared" si="1147"/>
        <v>18033.780000000006</v>
      </c>
      <c r="AY50" s="22">
        <f t="shared" si="1147"/>
        <v>18033.780000000006</v>
      </c>
      <c r="AZ50" s="22">
        <f t="shared" si="1147"/>
        <v>18033.780000000006</v>
      </c>
      <c r="BA50" s="22">
        <f t="shared" si="1147"/>
        <v>18033.780000000006</v>
      </c>
      <c r="BB50" s="22">
        <f t="shared" si="1147"/>
        <v>18033.780000000006</v>
      </c>
      <c r="BC50" s="22">
        <f t="shared" si="1147"/>
        <v>18033.780000000006</v>
      </c>
      <c r="BD50" s="30">
        <f t="shared" si="150"/>
        <v>216405.36000000002</v>
      </c>
      <c r="BE50" s="38">
        <v>1</v>
      </c>
      <c r="BF50" s="22">
        <f>$BE50*AR50*(1+$BF$4)</f>
        <v>19115.806800000006</v>
      </c>
      <c r="BG50" s="22">
        <f t="shared" ref="BG50:BQ50" si="1148">$BE50*AS50*(1+$BF$4)</f>
        <v>19115.806800000006</v>
      </c>
      <c r="BH50" s="22">
        <f t="shared" si="1148"/>
        <v>19115.806800000006</v>
      </c>
      <c r="BI50" s="22">
        <f t="shared" si="1148"/>
        <v>19115.806800000006</v>
      </c>
      <c r="BJ50" s="22">
        <f t="shared" si="1148"/>
        <v>19115.806800000006</v>
      </c>
      <c r="BK50" s="22">
        <f t="shared" si="1148"/>
        <v>19115.806800000006</v>
      </c>
      <c r="BL50" s="22">
        <f t="shared" si="1148"/>
        <v>19115.806800000006</v>
      </c>
      <c r="BM50" s="22">
        <f t="shared" si="1148"/>
        <v>19115.806800000006</v>
      </c>
      <c r="BN50" s="22">
        <f t="shared" si="1148"/>
        <v>19115.806800000006</v>
      </c>
      <c r="BO50" s="22">
        <f t="shared" si="1148"/>
        <v>19115.806800000006</v>
      </c>
      <c r="BP50" s="22">
        <f t="shared" si="1148"/>
        <v>19115.806800000006</v>
      </c>
      <c r="BQ50" s="22">
        <f t="shared" si="1148"/>
        <v>19115.806800000006</v>
      </c>
      <c r="BR50" s="30">
        <f t="shared" si="152"/>
        <v>229389.68160000013</v>
      </c>
      <c r="BS50" s="38">
        <v>1</v>
      </c>
      <c r="BT50" s="22">
        <f>$BS50*BF50*(1+$BT$4)</f>
        <v>20262.755208000006</v>
      </c>
      <c r="BU50" s="22">
        <f t="shared" ref="BU50:CE50" si="1149">$BS50*BG50*(1+$BT$4)</f>
        <v>20262.755208000006</v>
      </c>
      <c r="BV50" s="22">
        <f t="shared" si="1149"/>
        <v>20262.755208000006</v>
      </c>
      <c r="BW50" s="22">
        <f t="shared" si="1149"/>
        <v>20262.755208000006</v>
      </c>
      <c r="BX50" s="22">
        <f t="shared" si="1149"/>
        <v>20262.755208000006</v>
      </c>
      <c r="BY50" s="22">
        <f t="shared" si="1149"/>
        <v>20262.755208000006</v>
      </c>
      <c r="BZ50" s="22">
        <f t="shared" si="1149"/>
        <v>20262.755208000006</v>
      </c>
      <c r="CA50" s="22">
        <f t="shared" si="1149"/>
        <v>20262.755208000006</v>
      </c>
      <c r="CB50" s="22">
        <f t="shared" si="1149"/>
        <v>20262.755208000006</v>
      </c>
      <c r="CC50" s="22">
        <f t="shared" si="1149"/>
        <v>20262.755208000006</v>
      </c>
      <c r="CD50" s="22">
        <f t="shared" si="1149"/>
        <v>20262.755208000006</v>
      </c>
      <c r="CE50" s="22">
        <f t="shared" si="1149"/>
        <v>20262.755208000006</v>
      </c>
      <c r="CF50" s="30">
        <f t="shared" si="154"/>
        <v>243153.06249600012</v>
      </c>
      <c r="CG50" s="38">
        <v>1</v>
      </c>
      <c r="CH50" s="22">
        <f>$CG50*BT50*(1+$CH$4)</f>
        <v>21478.520520480008</v>
      </c>
      <c r="CI50" s="22">
        <f t="shared" ref="CI50:CS50" si="1150">$CG50*BU50*(1+$CH$4)</f>
        <v>21478.520520480008</v>
      </c>
      <c r="CJ50" s="22">
        <f t="shared" si="1150"/>
        <v>21478.520520480008</v>
      </c>
      <c r="CK50" s="22">
        <f t="shared" si="1150"/>
        <v>21478.520520480008</v>
      </c>
      <c r="CL50" s="22">
        <f t="shared" si="1150"/>
        <v>21478.520520480008</v>
      </c>
      <c r="CM50" s="22">
        <f t="shared" si="1150"/>
        <v>21478.520520480008</v>
      </c>
      <c r="CN50" s="22">
        <f t="shared" si="1150"/>
        <v>21478.520520480008</v>
      </c>
      <c r="CO50" s="22">
        <f t="shared" si="1150"/>
        <v>21478.520520480008</v>
      </c>
      <c r="CP50" s="22">
        <f t="shared" si="1150"/>
        <v>21478.520520480008</v>
      </c>
      <c r="CQ50" s="22">
        <f t="shared" si="1150"/>
        <v>21478.520520480008</v>
      </c>
      <c r="CR50" s="22">
        <f t="shared" si="1150"/>
        <v>21478.520520480008</v>
      </c>
      <c r="CS50" s="22">
        <f t="shared" si="1150"/>
        <v>21478.520520480008</v>
      </c>
      <c r="CT50" s="30">
        <f t="shared" si="156"/>
        <v>257742.24624576003</v>
      </c>
      <c r="CU50" s="38">
        <v>1</v>
      </c>
      <c r="CV50" s="22">
        <f>$CU50*CH50*(1+$CV$4)</f>
        <v>22767.231751708809</v>
      </c>
      <c r="CW50" s="22">
        <f t="shared" ref="CW50:DG50" si="1151">$CU50*CI50*(1+$CV$4)</f>
        <v>22767.231751708809</v>
      </c>
      <c r="CX50" s="22">
        <f t="shared" si="1151"/>
        <v>22767.231751708809</v>
      </c>
      <c r="CY50" s="22">
        <f t="shared" si="1151"/>
        <v>22767.231751708809</v>
      </c>
      <c r="CZ50" s="22">
        <f t="shared" si="1151"/>
        <v>22767.231751708809</v>
      </c>
      <c r="DA50" s="22">
        <f t="shared" si="1151"/>
        <v>22767.231751708809</v>
      </c>
      <c r="DB50" s="22">
        <f t="shared" si="1151"/>
        <v>22767.231751708809</v>
      </c>
      <c r="DC50" s="22">
        <f t="shared" si="1151"/>
        <v>22767.231751708809</v>
      </c>
      <c r="DD50" s="22">
        <f t="shared" si="1151"/>
        <v>22767.231751708809</v>
      </c>
      <c r="DE50" s="22">
        <f t="shared" si="1151"/>
        <v>22767.231751708809</v>
      </c>
      <c r="DF50" s="22">
        <f t="shared" si="1151"/>
        <v>22767.231751708809</v>
      </c>
      <c r="DG50" s="22">
        <f t="shared" si="1151"/>
        <v>22767.231751708809</v>
      </c>
      <c r="DH50" s="30">
        <f t="shared" si="158"/>
        <v>273206.7810205057</v>
      </c>
      <c r="DI50" s="38">
        <v>1</v>
      </c>
      <c r="DJ50" s="22">
        <f>$DI50*CV50*(1+$DJ$4)</f>
        <v>24133.265656811338</v>
      </c>
      <c r="DK50" s="22">
        <f t="shared" ref="DK50:DU50" si="1152">$DI50*CW50*(1+$DJ$4)</f>
        <v>24133.265656811338</v>
      </c>
      <c r="DL50" s="22">
        <f t="shared" si="1152"/>
        <v>24133.265656811338</v>
      </c>
      <c r="DM50" s="22">
        <f t="shared" si="1152"/>
        <v>24133.265656811338</v>
      </c>
      <c r="DN50" s="22">
        <f t="shared" si="1152"/>
        <v>24133.265656811338</v>
      </c>
      <c r="DO50" s="22">
        <f t="shared" si="1152"/>
        <v>24133.265656811338</v>
      </c>
      <c r="DP50" s="22">
        <f t="shared" si="1152"/>
        <v>24133.265656811338</v>
      </c>
      <c r="DQ50" s="22">
        <f t="shared" si="1152"/>
        <v>24133.265656811338</v>
      </c>
      <c r="DR50" s="22">
        <f t="shared" si="1152"/>
        <v>24133.265656811338</v>
      </c>
      <c r="DS50" s="22">
        <f t="shared" si="1152"/>
        <v>24133.265656811338</v>
      </c>
      <c r="DT50" s="22">
        <f t="shared" si="1152"/>
        <v>24133.265656811338</v>
      </c>
      <c r="DU50" s="22">
        <f t="shared" si="1152"/>
        <v>24133.265656811338</v>
      </c>
      <c r="DV50" s="30">
        <f t="shared" si="160"/>
        <v>289599.18788173603</v>
      </c>
      <c r="DW50" s="38">
        <v>1</v>
      </c>
      <c r="DX50" s="22">
        <f>$DW50*DJ50*(1+$DX$4)</f>
        <v>25581.261596220018</v>
      </c>
      <c r="DY50" s="22">
        <f t="shared" ref="DY50:EI50" si="1153">$DW50*DK50*(1+$DX$4)</f>
        <v>25581.261596220018</v>
      </c>
      <c r="DZ50" s="22">
        <f t="shared" si="1153"/>
        <v>25581.261596220018</v>
      </c>
      <c r="EA50" s="22">
        <f t="shared" si="1153"/>
        <v>25581.261596220018</v>
      </c>
      <c r="EB50" s="22">
        <f t="shared" si="1153"/>
        <v>25581.261596220018</v>
      </c>
      <c r="EC50" s="22">
        <f t="shared" si="1153"/>
        <v>25581.261596220018</v>
      </c>
      <c r="ED50" s="22">
        <f t="shared" si="1153"/>
        <v>25581.261596220018</v>
      </c>
      <c r="EE50" s="22">
        <f t="shared" si="1153"/>
        <v>25581.261596220018</v>
      </c>
      <c r="EF50" s="22">
        <f t="shared" si="1153"/>
        <v>25581.261596220018</v>
      </c>
      <c r="EG50" s="22">
        <f t="shared" si="1153"/>
        <v>25581.261596220018</v>
      </c>
      <c r="EH50" s="22">
        <f t="shared" si="1153"/>
        <v>25581.261596220018</v>
      </c>
      <c r="EI50" s="22">
        <f t="shared" si="1153"/>
        <v>25581.261596220018</v>
      </c>
      <c r="EJ50" s="30">
        <f t="shared" si="162"/>
        <v>306975.1391546402</v>
      </c>
    </row>
    <row r="51" spans="1:140">
      <c r="A51" s="8" t="s">
        <v>72</v>
      </c>
      <c r="B51" s="22">
        <v>10000</v>
      </c>
      <c r="C51" s="22">
        <f>B51*(1+C$3)</f>
        <v>10000</v>
      </c>
      <c r="D51" s="22">
        <f t="shared" ref="D51:M51" si="1154">C51*(1+D$3)</f>
        <v>10000</v>
      </c>
      <c r="E51" s="22">
        <f t="shared" si="1154"/>
        <v>10000</v>
      </c>
      <c r="F51" s="22">
        <f t="shared" si="1154"/>
        <v>10000</v>
      </c>
      <c r="G51" s="22">
        <f t="shared" si="1154"/>
        <v>10000</v>
      </c>
      <c r="H51" s="22">
        <f t="shared" si="1154"/>
        <v>10000</v>
      </c>
      <c r="I51" s="22">
        <f t="shared" si="1154"/>
        <v>10000</v>
      </c>
      <c r="J51" s="22">
        <f t="shared" si="1154"/>
        <v>10000</v>
      </c>
      <c r="K51" s="22">
        <f t="shared" si="1154"/>
        <v>10000</v>
      </c>
      <c r="L51" s="22">
        <f t="shared" si="1154"/>
        <v>10000</v>
      </c>
      <c r="M51" s="22">
        <f t="shared" si="1154"/>
        <v>10000</v>
      </c>
      <c r="N51" s="30">
        <f t="shared" si="144"/>
        <v>120000</v>
      </c>
      <c r="O51" s="38">
        <v>1</v>
      </c>
      <c r="P51" s="22">
        <f>$O51*B51*(1+$P$3)*(1+$P$4)</f>
        <v>11021</v>
      </c>
      <c r="Q51" s="22">
        <f t="shared" ref="Q51:AA51" si="1155">$O51*C51*(1+$P$3)*(1+$P$4)</f>
        <v>11021</v>
      </c>
      <c r="R51" s="22">
        <f t="shared" si="1155"/>
        <v>11021</v>
      </c>
      <c r="S51" s="22">
        <f t="shared" si="1155"/>
        <v>11021</v>
      </c>
      <c r="T51" s="22">
        <f t="shared" si="1155"/>
        <v>11021</v>
      </c>
      <c r="U51" s="22">
        <f t="shared" si="1155"/>
        <v>11021</v>
      </c>
      <c r="V51" s="22">
        <f t="shared" si="1155"/>
        <v>11021</v>
      </c>
      <c r="W51" s="22">
        <f t="shared" si="1155"/>
        <v>11021</v>
      </c>
      <c r="X51" s="22">
        <f t="shared" si="1155"/>
        <v>11021</v>
      </c>
      <c r="Y51" s="22">
        <f t="shared" si="1155"/>
        <v>11021</v>
      </c>
      <c r="Z51" s="22">
        <f t="shared" si="1155"/>
        <v>11021</v>
      </c>
      <c r="AA51" s="22">
        <f t="shared" si="1155"/>
        <v>11021</v>
      </c>
      <c r="AB51" s="30">
        <f t="shared" si="146"/>
        <v>132252</v>
      </c>
      <c r="AC51" s="38">
        <v>1</v>
      </c>
      <c r="AD51" s="22">
        <f>$AC51*P51*(1+$AD$3)*(1+$AD$4)</f>
        <v>12266.373000000001</v>
      </c>
      <c r="AE51" s="22">
        <f t="shared" ref="AE51:AO51" si="1156">$AC51*Q51*(1+$AD$3)*(1+$AD$4)</f>
        <v>12266.373000000001</v>
      </c>
      <c r="AF51" s="22">
        <f t="shared" si="1156"/>
        <v>12266.373000000001</v>
      </c>
      <c r="AG51" s="22">
        <f t="shared" si="1156"/>
        <v>12266.373000000001</v>
      </c>
      <c r="AH51" s="22">
        <f t="shared" si="1156"/>
        <v>12266.373000000001</v>
      </c>
      <c r="AI51" s="22">
        <f t="shared" si="1156"/>
        <v>12266.373000000001</v>
      </c>
      <c r="AJ51" s="22">
        <f t="shared" si="1156"/>
        <v>12266.373000000001</v>
      </c>
      <c r="AK51" s="22">
        <f t="shared" si="1156"/>
        <v>12266.373000000001</v>
      </c>
      <c r="AL51" s="22">
        <f t="shared" si="1156"/>
        <v>12266.373000000001</v>
      </c>
      <c r="AM51" s="22">
        <f t="shared" si="1156"/>
        <v>12266.373000000001</v>
      </c>
      <c r="AN51" s="22">
        <f t="shared" si="1156"/>
        <v>12266.373000000001</v>
      </c>
      <c r="AO51" s="22">
        <f t="shared" si="1156"/>
        <v>12266.373000000001</v>
      </c>
      <c r="AP51" s="30">
        <f t="shared" si="148"/>
        <v>147196.47600000002</v>
      </c>
      <c r="AQ51" s="38">
        <v>1</v>
      </c>
      <c r="AR51" s="22">
        <f>$AQ51*AD51*(1+$AR$3)*(1+$AR$4)</f>
        <v>13652.473149000003</v>
      </c>
      <c r="AS51" s="22">
        <f t="shared" ref="AS51:BC51" si="1157">$AQ51*AE51*(1+$AR$3)*(1+$AR$4)</f>
        <v>13652.473149000003</v>
      </c>
      <c r="AT51" s="22">
        <f t="shared" si="1157"/>
        <v>13652.473149000003</v>
      </c>
      <c r="AU51" s="22">
        <f t="shared" si="1157"/>
        <v>13652.473149000003</v>
      </c>
      <c r="AV51" s="22">
        <f t="shared" si="1157"/>
        <v>13652.473149000003</v>
      </c>
      <c r="AW51" s="22">
        <f t="shared" si="1157"/>
        <v>13652.473149000003</v>
      </c>
      <c r="AX51" s="22">
        <f t="shared" si="1157"/>
        <v>13652.473149000003</v>
      </c>
      <c r="AY51" s="22">
        <f t="shared" si="1157"/>
        <v>13652.473149000003</v>
      </c>
      <c r="AZ51" s="22">
        <f t="shared" si="1157"/>
        <v>13652.473149000003</v>
      </c>
      <c r="BA51" s="22">
        <f t="shared" si="1157"/>
        <v>13652.473149000003</v>
      </c>
      <c r="BB51" s="22">
        <f t="shared" si="1157"/>
        <v>13652.473149000003</v>
      </c>
      <c r="BC51" s="22">
        <f t="shared" si="1157"/>
        <v>13652.473149000003</v>
      </c>
      <c r="BD51" s="30">
        <f t="shared" si="150"/>
        <v>163829.677788</v>
      </c>
      <c r="BE51" s="38">
        <v>1</v>
      </c>
      <c r="BF51" s="22">
        <f>$BE51*AR51*(1+$BF$3)*(1+$BF$4)</f>
        <v>15195.202614837004</v>
      </c>
      <c r="BG51" s="22">
        <f t="shared" ref="BG51:BQ51" si="1158">$BE51*AS51*(1+$BF$3)*(1+$BF$4)</f>
        <v>15195.202614837004</v>
      </c>
      <c r="BH51" s="22">
        <f t="shared" si="1158"/>
        <v>15195.202614837004</v>
      </c>
      <c r="BI51" s="22">
        <f t="shared" si="1158"/>
        <v>15195.202614837004</v>
      </c>
      <c r="BJ51" s="22">
        <f t="shared" si="1158"/>
        <v>15195.202614837004</v>
      </c>
      <c r="BK51" s="22">
        <f t="shared" si="1158"/>
        <v>15195.202614837004</v>
      </c>
      <c r="BL51" s="22">
        <f t="shared" si="1158"/>
        <v>15195.202614837004</v>
      </c>
      <c r="BM51" s="22">
        <f t="shared" si="1158"/>
        <v>15195.202614837004</v>
      </c>
      <c r="BN51" s="22">
        <f t="shared" si="1158"/>
        <v>15195.202614837004</v>
      </c>
      <c r="BO51" s="22">
        <f t="shared" si="1158"/>
        <v>15195.202614837004</v>
      </c>
      <c r="BP51" s="22">
        <f t="shared" si="1158"/>
        <v>15195.202614837004</v>
      </c>
      <c r="BQ51" s="22">
        <f t="shared" si="1158"/>
        <v>15195.202614837004</v>
      </c>
      <c r="BR51" s="30">
        <f t="shared" si="152"/>
        <v>182342.43137804404</v>
      </c>
      <c r="BS51" s="38">
        <v>1</v>
      </c>
      <c r="BT51" s="22">
        <f>$BS51*BF51*(1+$BT$3)*(1+$BT$4)</f>
        <v>16912.260510313587</v>
      </c>
      <c r="BU51" s="22">
        <f t="shared" ref="BU51:CE51" si="1159">$BS51*BG51*(1+$BT$3)*(1+$BT$4)</f>
        <v>16912.260510313587</v>
      </c>
      <c r="BV51" s="22">
        <f t="shared" si="1159"/>
        <v>16912.260510313587</v>
      </c>
      <c r="BW51" s="22">
        <f t="shared" si="1159"/>
        <v>16912.260510313587</v>
      </c>
      <c r="BX51" s="22">
        <f t="shared" si="1159"/>
        <v>16912.260510313587</v>
      </c>
      <c r="BY51" s="22">
        <f t="shared" si="1159"/>
        <v>16912.260510313587</v>
      </c>
      <c r="BZ51" s="22">
        <f t="shared" si="1159"/>
        <v>16912.260510313587</v>
      </c>
      <c r="CA51" s="22">
        <f t="shared" si="1159"/>
        <v>16912.260510313587</v>
      </c>
      <c r="CB51" s="22">
        <f t="shared" si="1159"/>
        <v>16912.260510313587</v>
      </c>
      <c r="CC51" s="22">
        <f t="shared" si="1159"/>
        <v>16912.260510313587</v>
      </c>
      <c r="CD51" s="22">
        <f t="shared" si="1159"/>
        <v>16912.260510313587</v>
      </c>
      <c r="CE51" s="22">
        <f t="shared" si="1159"/>
        <v>16912.260510313587</v>
      </c>
      <c r="CF51" s="30">
        <f t="shared" si="154"/>
        <v>202947.12612376304</v>
      </c>
      <c r="CG51" s="38">
        <v>1</v>
      </c>
      <c r="CH51" s="22">
        <f>$CG51*BT51*(1+$CH$3)*(1+$CH$4)</f>
        <v>18823.345947979022</v>
      </c>
      <c r="CI51" s="22">
        <f t="shared" ref="CI51:CS51" si="1160">$CG51*BU51*(1+$CH$3)*(1+$CH$4)</f>
        <v>18823.345947979022</v>
      </c>
      <c r="CJ51" s="22">
        <f t="shared" si="1160"/>
        <v>18823.345947979022</v>
      </c>
      <c r="CK51" s="22">
        <f t="shared" si="1160"/>
        <v>18823.345947979022</v>
      </c>
      <c r="CL51" s="22">
        <f t="shared" si="1160"/>
        <v>18823.345947979022</v>
      </c>
      <c r="CM51" s="22">
        <f t="shared" si="1160"/>
        <v>18823.345947979022</v>
      </c>
      <c r="CN51" s="22">
        <f t="shared" si="1160"/>
        <v>18823.345947979022</v>
      </c>
      <c r="CO51" s="22">
        <f t="shared" si="1160"/>
        <v>18823.345947979022</v>
      </c>
      <c r="CP51" s="22">
        <f t="shared" si="1160"/>
        <v>18823.345947979022</v>
      </c>
      <c r="CQ51" s="22">
        <f t="shared" si="1160"/>
        <v>18823.345947979022</v>
      </c>
      <c r="CR51" s="22">
        <f t="shared" si="1160"/>
        <v>18823.345947979022</v>
      </c>
      <c r="CS51" s="22">
        <f t="shared" si="1160"/>
        <v>18823.345947979022</v>
      </c>
      <c r="CT51" s="30">
        <f t="shared" si="156"/>
        <v>225880.15137574825</v>
      </c>
      <c r="CU51" s="38">
        <v>1</v>
      </c>
      <c r="CV51" s="22">
        <f>$CU51*CH51*(1+$CV$3)*(1+$CV$4)</f>
        <v>20950.384040100653</v>
      </c>
      <c r="CW51" s="22">
        <f t="shared" ref="CW51:DG51" si="1161">$CU51*CI51*(1+$CV$3)*(1+$CV$4)</f>
        <v>20950.384040100653</v>
      </c>
      <c r="CX51" s="22">
        <f t="shared" si="1161"/>
        <v>20950.384040100653</v>
      </c>
      <c r="CY51" s="22">
        <f t="shared" si="1161"/>
        <v>20950.384040100653</v>
      </c>
      <c r="CZ51" s="22">
        <f t="shared" si="1161"/>
        <v>20950.384040100653</v>
      </c>
      <c r="DA51" s="22">
        <f t="shared" si="1161"/>
        <v>20950.384040100653</v>
      </c>
      <c r="DB51" s="22">
        <f t="shared" si="1161"/>
        <v>20950.384040100653</v>
      </c>
      <c r="DC51" s="22">
        <f t="shared" si="1161"/>
        <v>20950.384040100653</v>
      </c>
      <c r="DD51" s="22">
        <f t="shared" si="1161"/>
        <v>20950.384040100653</v>
      </c>
      <c r="DE51" s="22">
        <f t="shared" si="1161"/>
        <v>20950.384040100653</v>
      </c>
      <c r="DF51" s="22">
        <f t="shared" si="1161"/>
        <v>20950.384040100653</v>
      </c>
      <c r="DG51" s="22">
        <f t="shared" si="1161"/>
        <v>20950.384040100653</v>
      </c>
      <c r="DH51" s="30">
        <f t="shared" si="158"/>
        <v>251404.60848120778</v>
      </c>
      <c r="DI51" s="38">
        <v>1</v>
      </c>
      <c r="DJ51" s="22">
        <f>$DI51*CV51*(1+$DJ$3)*(1+$DJ$4)</f>
        <v>23317.77743663203</v>
      </c>
      <c r="DK51" s="22">
        <f t="shared" ref="DK51:DU51" si="1162">$DI51*CW51*(1+$DJ$3)*(1+$DJ$4)</f>
        <v>23317.77743663203</v>
      </c>
      <c r="DL51" s="22">
        <f t="shared" si="1162"/>
        <v>23317.77743663203</v>
      </c>
      <c r="DM51" s="22">
        <f t="shared" si="1162"/>
        <v>23317.77743663203</v>
      </c>
      <c r="DN51" s="22">
        <f t="shared" si="1162"/>
        <v>23317.77743663203</v>
      </c>
      <c r="DO51" s="22">
        <f t="shared" si="1162"/>
        <v>23317.77743663203</v>
      </c>
      <c r="DP51" s="22">
        <f t="shared" si="1162"/>
        <v>23317.77743663203</v>
      </c>
      <c r="DQ51" s="22">
        <f t="shared" si="1162"/>
        <v>23317.77743663203</v>
      </c>
      <c r="DR51" s="22">
        <f t="shared" si="1162"/>
        <v>23317.77743663203</v>
      </c>
      <c r="DS51" s="22">
        <f t="shared" si="1162"/>
        <v>23317.77743663203</v>
      </c>
      <c r="DT51" s="22">
        <f t="shared" si="1162"/>
        <v>23317.77743663203</v>
      </c>
      <c r="DU51" s="22">
        <f t="shared" si="1162"/>
        <v>23317.77743663203</v>
      </c>
      <c r="DV51" s="30">
        <f t="shared" si="160"/>
        <v>279813.32923958433</v>
      </c>
      <c r="DW51" s="38">
        <v>1</v>
      </c>
      <c r="DX51" s="22">
        <f>$DW51*DJ51*(1+$DX$3)*(1+$DX$4)</f>
        <v>25952.68628697145</v>
      </c>
      <c r="DY51" s="22">
        <f t="shared" ref="DY51:EI51" si="1163">$DW51*DK51*(1+$DX$3)*(1+$DX$4)</f>
        <v>25952.68628697145</v>
      </c>
      <c r="DZ51" s="22">
        <f t="shared" si="1163"/>
        <v>25952.68628697145</v>
      </c>
      <c r="EA51" s="22">
        <f t="shared" si="1163"/>
        <v>25952.68628697145</v>
      </c>
      <c r="EB51" s="22">
        <f t="shared" si="1163"/>
        <v>25952.68628697145</v>
      </c>
      <c r="EC51" s="22">
        <f t="shared" si="1163"/>
        <v>25952.68628697145</v>
      </c>
      <c r="ED51" s="22">
        <f t="shared" si="1163"/>
        <v>25952.68628697145</v>
      </c>
      <c r="EE51" s="22">
        <f t="shared" si="1163"/>
        <v>25952.68628697145</v>
      </c>
      <c r="EF51" s="22">
        <f t="shared" si="1163"/>
        <v>25952.68628697145</v>
      </c>
      <c r="EG51" s="22">
        <f t="shared" si="1163"/>
        <v>25952.68628697145</v>
      </c>
      <c r="EH51" s="22">
        <f t="shared" si="1163"/>
        <v>25952.68628697145</v>
      </c>
      <c r="EI51" s="22">
        <f t="shared" si="1163"/>
        <v>25952.68628697145</v>
      </c>
      <c r="EJ51" s="30">
        <f t="shared" si="162"/>
        <v>311432.23544365732</v>
      </c>
    </row>
    <row r="52" spans="1:140">
      <c r="A52" s="18" t="s">
        <v>246</v>
      </c>
      <c r="B52" s="30">
        <f>SUM(B53:B53)</f>
        <v>0</v>
      </c>
      <c r="C52" s="30">
        <f t="shared" ref="C52:M52" si="1164">SUM(C53:C53)</f>
        <v>0</v>
      </c>
      <c r="D52" s="30">
        <f t="shared" si="1164"/>
        <v>0</v>
      </c>
      <c r="E52" s="30">
        <f t="shared" si="1164"/>
        <v>0</v>
      </c>
      <c r="F52" s="30">
        <f t="shared" si="1164"/>
        <v>0</v>
      </c>
      <c r="G52" s="30">
        <f t="shared" si="1164"/>
        <v>0</v>
      </c>
      <c r="H52" s="30">
        <f t="shared" si="1164"/>
        <v>0</v>
      </c>
      <c r="I52" s="30">
        <f t="shared" si="1164"/>
        <v>0</v>
      </c>
      <c r="J52" s="30">
        <f t="shared" si="1164"/>
        <v>0</v>
      </c>
      <c r="K52" s="30">
        <f t="shared" si="1164"/>
        <v>0</v>
      </c>
      <c r="L52" s="30">
        <f t="shared" si="1164"/>
        <v>0</v>
      </c>
      <c r="M52" s="30">
        <f t="shared" si="1164"/>
        <v>0</v>
      </c>
      <c r="N52" s="30">
        <f t="shared" si="144"/>
        <v>0</v>
      </c>
      <c r="O52" s="38"/>
      <c r="P52" s="30">
        <f>SUM(P53:P53)</f>
        <v>0</v>
      </c>
      <c r="Q52" s="30">
        <f t="shared" ref="Q52" si="1165">SUM(Q53:Q53)</f>
        <v>0</v>
      </c>
      <c r="R52" s="30">
        <f t="shared" ref="R52" si="1166">SUM(R53:R53)</f>
        <v>0</v>
      </c>
      <c r="S52" s="30">
        <f t="shared" ref="S52" si="1167">SUM(S53:S53)</f>
        <v>0</v>
      </c>
      <c r="T52" s="30">
        <f t="shared" ref="T52" si="1168">SUM(T53:T53)</f>
        <v>0</v>
      </c>
      <c r="U52" s="30">
        <f t="shared" ref="U52" si="1169">SUM(U53:U53)</f>
        <v>0</v>
      </c>
      <c r="V52" s="30">
        <f t="shared" ref="V52" si="1170">SUM(V53:V53)</f>
        <v>0</v>
      </c>
      <c r="W52" s="30">
        <f t="shared" ref="W52" si="1171">SUM(W53:W53)</f>
        <v>0</v>
      </c>
      <c r="X52" s="30">
        <f t="shared" ref="X52" si="1172">SUM(X53:X53)</f>
        <v>0</v>
      </c>
      <c r="Y52" s="30">
        <f t="shared" ref="Y52" si="1173">SUM(Y53:Y53)</f>
        <v>0</v>
      </c>
      <c r="Z52" s="30">
        <f t="shared" ref="Z52" si="1174">SUM(Z53:Z53)</f>
        <v>0</v>
      </c>
      <c r="AA52" s="30">
        <f t="shared" ref="AA52" si="1175">SUM(AA53:AA53)</f>
        <v>0</v>
      </c>
      <c r="AB52" s="30">
        <f t="shared" si="146"/>
        <v>0</v>
      </c>
      <c r="AC52" s="38"/>
      <c r="AD52" s="30">
        <f>SUM(AD53:AD53)</f>
        <v>0</v>
      </c>
      <c r="AE52" s="30">
        <f t="shared" ref="AE52" si="1176">SUM(AE53:AE53)</f>
        <v>0</v>
      </c>
      <c r="AF52" s="30">
        <f t="shared" ref="AF52" si="1177">SUM(AF53:AF53)</f>
        <v>0</v>
      </c>
      <c r="AG52" s="30">
        <f t="shared" ref="AG52" si="1178">SUM(AG53:AG53)</f>
        <v>0</v>
      </c>
      <c r="AH52" s="30">
        <f t="shared" ref="AH52" si="1179">SUM(AH53:AH53)</f>
        <v>0</v>
      </c>
      <c r="AI52" s="30">
        <f t="shared" ref="AI52" si="1180">SUM(AI53:AI53)</f>
        <v>0</v>
      </c>
      <c r="AJ52" s="30">
        <f t="shared" ref="AJ52" si="1181">SUM(AJ53:AJ53)</f>
        <v>0</v>
      </c>
      <c r="AK52" s="30">
        <f t="shared" ref="AK52" si="1182">SUM(AK53:AK53)</f>
        <v>0</v>
      </c>
      <c r="AL52" s="30">
        <f t="shared" ref="AL52" si="1183">SUM(AL53:AL53)</f>
        <v>0</v>
      </c>
      <c r="AM52" s="30">
        <f t="shared" ref="AM52" si="1184">SUM(AM53:AM53)</f>
        <v>0</v>
      </c>
      <c r="AN52" s="30">
        <f t="shared" ref="AN52" si="1185">SUM(AN53:AN53)</f>
        <v>0</v>
      </c>
      <c r="AO52" s="30">
        <f t="shared" ref="AO52" si="1186">SUM(AO53:AO53)</f>
        <v>0</v>
      </c>
      <c r="AP52" s="30">
        <f t="shared" si="148"/>
        <v>0</v>
      </c>
      <c r="AQ52" s="38"/>
      <c r="AR52" s="30">
        <f>SUM(AR53:AR53)</f>
        <v>0</v>
      </c>
      <c r="AS52" s="30">
        <f t="shared" ref="AS52" si="1187">SUM(AS53:AS53)</f>
        <v>0</v>
      </c>
      <c r="AT52" s="30">
        <f t="shared" ref="AT52" si="1188">SUM(AT53:AT53)</f>
        <v>0</v>
      </c>
      <c r="AU52" s="30">
        <f t="shared" ref="AU52" si="1189">SUM(AU53:AU53)</f>
        <v>0</v>
      </c>
      <c r="AV52" s="30">
        <f t="shared" ref="AV52" si="1190">SUM(AV53:AV53)</f>
        <v>0</v>
      </c>
      <c r="AW52" s="30">
        <f t="shared" ref="AW52" si="1191">SUM(AW53:AW53)</f>
        <v>0</v>
      </c>
      <c r="AX52" s="30">
        <f t="shared" ref="AX52" si="1192">SUM(AX53:AX53)</f>
        <v>0</v>
      </c>
      <c r="AY52" s="30">
        <f t="shared" ref="AY52" si="1193">SUM(AY53:AY53)</f>
        <v>0</v>
      </c>
      <c r="AZ52" s="30">
        <f t="shared" ref="AZ52" si="1194">SUM(AZ53:AZ53)</f>
        <v>0</v>
      </c>
      <c r="BA52" s="30">
        <f t="shared" ref="BA52" si="1195">SUM(BA53:BA53)</f>
        <v>0</v>
      </c>
      <c r="BB52" s="30">
        <f t="shared" ref="BB52" si="1196">SUM(BB53:BB53)</f>
        <v>0</v>
      </c>
      <c r="BC52" s="30">
        <f t="shared" ref="BC52" si="1197">SUM(BC53:BC53)</f>
        <v>0</v>
      </c>
      <c r="BD52" s="30">
        <f t="shared" si="150"/>
        <v>0</v>
      </c>
      <c r="BE52" s="38"/>
      <c r="BF52" s="30">
        <f>SUM(BF53:BF53)</f>
        <v>0</v>
      </c>
      <c r="BG52" s="30">
        <f t="shared" ref="BG52" si="1198">SUM(BG53:BG53)</f>
        <v>0</v>
      </c>
      <c r="BH52" s="30">
        <f t="shared" ref="BH52" si="1199">SUM(BH53:BH53)</f>
        <v>0</v>
      </c>
      <c r="BI52" s="30">
        <f t="shared" ref="BI52" si="1200">SUM(BI53:BI53)</f>
        <v>0</v>
      </c>
      <c r="BJ52" s="30">
        <f t="shared" ref="BJ52" si="1201">SUM(BJ53:BJ53)</f>
        <v>0</v>
      </c>
      <c r="BK52" s="30">
        <f t="shared" ref="BK52" si="1202">SUM(BK53:BK53)</f>
        <v>0</v>
      </c>
      <c r="BL52" s="30">
        <f t="shared" ref="BL52" si="1203">SUM(BL53:BL53)</f>
        <v>0</v>
      </c>
      <c r="BM52" s="30">
        <f t="shared" ref="BM52" si="1204">SUM(BM53:BM53)</f>
        <v>0</v>
      </c>
      <c r="BN52" s="30">
        <f t="shared" ref="BN52" si="1205">SUM(BN53:BN53)</f>
        <v>0</v>
      </c>
      <c r="BO52" s="30">
        <f t="shared" ref="BO52" si="1206">SUM(BO53:BO53)</f>
        <v>0</v>
      </c>
      <c r="BP52" s="30">
        <f t="shared" ref="BP52" si="1207">SUM(BP53:BP53)</f>
        <v>0</v>
      </c>
      <c r="BQ52" s="30">
        <f t="shared" ref="BQ52" si="1208">SUM(BQ53:BQ53)</f>
        <v>0</v>
      </c>
      <c r="BR52" s="30">
        <f t="shared" si="152"/>
        <v>0</v>
      </c>
      <c r="BS52" s="38"/>
      <c r="BT52" s="30">
        <f>SUM(BT53:BT53)</f>
        <v>0</v>
      </c>
      <c r="BU52" s="30">
        <f t="shared" ref="BU52" si="1209">SUM(BU53:BU53)</f>
        <v>0</v>
      </c>
      <c r="BV52" s="30">
        <f t="shared" ref="BV52" si="1210">SUM(BV53:BV53)</f>
        <v>0</v>
      </c>
      <c r="BW52" s="30">
        <f t="shared" ref="BW52" si="1211">SUM(BW53:BW53)</f>
        <v>0</v>
      </c>
      <c r="BX52" s="30">
        <f t="shared" ref="BX52" si="1212">SUM(BX53:BX53)</f>
        <v>0</v>
      </c>
      <c r="BY52" s="30">
        <f t="shared" ref="BY52" si="1213">SUM(BY53:BY53)</f>
        <v>0</v>
      </c>
      <c r="BZ52" s="30">
        <f t="shared" ref="BZ52" si="1214">SUM(BZ53:BZ53)</f>
        <v>0</v>
      </c>
      <c r="CA52" s="30">
        <f t="shared" ref="CA52" si="1215">SUM(CA53:CA53)</f>
        <v>0</v>
      </c>
      <c r="CB52" s="30">
        <f t="shared" ref="CB52" si="1216">SUM(CB53:CB53)</f>
        <v>0</v>
      </c>
      <c r="CC52" s="30">
        <f t="shared" ref="CC52" si="1217">SUM(CC53:CC53)</f>
        <v>0</v>
      </c>
      <c r="CD52" s="30">
        <f t="shared" ref="CD52" si="1218">SUM(CD53:CD53)</f>
        <v>0</v>
      </c>
      <c r="CE52" s="30">
        <f t="shared" ref="CE52" si="1219">SUM(CE53:CE53)</f>
        <v>0</v>
      </c>
      <c r="CF52" s="30">
        <f t="shared" si="154"/>
        <v>0</v>
      </c>
      <c r="CG52" s="38"/>
      <c r="CH52" s="30">
        <f>SUM(CH53:CH53)</f>
        <v>0</v>
      </c>
      <c r="CI52" s="30">
        <f t="shared" ref="CI52" si="1220">SUM(CI53:CI53)</f>
        <v>0</v>
      </c>
      <c r="CJ52" s="30">
        <f t="shared" ref="CJ52" si="1221">SUM(CJ53:CJ53)</f>
        <v>0</v>
      </c>
      <c r="CK52" s="30">
        <f t="shared" ref="CK52" si="1222">SUM(CK53:CK53)</f>
        <v>0</v>
      </c>
      <c r="CL52" s="30">
        <f t="shared" ref="CL52" si="1223">SUM(CL53:CL53)</f>
        <v>0</v>
      </c>
      <c r="CM52" s="30">
        <f t="shared" ref="CM52" si="1224">SUM(CM53:CM53)</f>
        <v>0</v>
      </c>
      <c r="CN52" s="30">
        <f t="shared" ref="CN52" si="1225">SUM(CN53:CN53)</f>
        <v>0</v>
      </c>
      <c r="CO52" s="30">
        <f t="shared" ref="CO52" si="1226">SUM(CO53:CO53)</f>
        <v>0</v>
      </c>
      <c r="CP52" s="30">
        <f t="shared" ref="CP52" si="1227">SUM(CP53:CP53)</f>
        <v>0</v>
      </c>
      <c r="CQ52" s="30">
        <f t="shared" ref="CQ52" si="1228">SUM(CQ53:CQ53)</f>
        <v>0</v>
      </c>
      <c r="CR52" s="30">
        <f t="shared" ref="CR52" si="1229">SUM(CR53:CR53)</f>
        <v>0</v>
      </c>
      <c r="CS52" s="30">
        <f t="shared" ref="CS52" si="1230">SUM(CS53:CS53)</f>
        <v>0</v>
      </c>
      <c r="CT52" s="30">
        <f t="shared" si="156"/>
        <v>0</v>
      </c>
      <c r="CU52" s="38"/>
      <c r="CV52" s="30">
        <f>SUM(CV53:CV53)</f>
        <v>0</v>
      </c>
      <c r="CW52" s="30">
        <f t="shared" ref="CW52" si="1231">SUM(CW53:CW53)</f>
        <v>0</v>
      </c>
      <c r="CX52" s="30">
        <f t="shared" ref="CX52" si="1232">SUM(CX53:CX53)</f>
        <v>0</v>
      </c>
      <c r="CY52" s="30">
        <f t="shared" ref="CY52" si="1233">SUM(CY53:CY53)</f>
        <v>0</v>
      </c>
      <c r="CZ52" s="30">
        <f t="shared" ref="CZ52" si="1234">SUM(CZ53:CZ53)</f>
        <v>0</v>
      </c>
      <c r="DA52" s="30">
        <f t="shared" ref="DA52" si="1235">SUM(DA53:DA53)</f>
        <v>0</v>
      </c>
      <c r="DB52" s="30">
        <f t="shared" ref="DB52" si="1236">SUM(DB53:DB53)</f>
        <v>0</v>
      </c>
      <c r="DC52" s="30">
        <f t="shared" ref="DC52" si="1237">SUM(DC53:DC53)</f>
        <v>0</v>
      </c>
      <c r="DD52" s="30">
        <f t="shared" ref="DD52" si="1238">SUM(DD53:DD53)</f>
        <v>0</v>
      </c>
      <c r="DE52" s="30">
        <f t="shared" ref="DE52" si="1239">SUM(DE53:DE53)</f>
        <v>0</v>
      </c>
      <c r="DF52" s="30">
        <f t="shared" ref="DF52" si="1240">SUM(DF53:DF53)</f>
        <v>0</v>
      </c>
      <c r="DG52" s="30">
        <f t="shared" ref="DG52" si="1241">SUM(DG53:DG53)</f>
        <v>0</v>
      </c>
      <c r="DH52" s="30">
        <f t="shared" si="158"/>
        <v>0</v>
      </c>
      <c r="DI52" s="38"/>
      <c r="DJ52" s="30">
        <f>SUM(DJ53:DJ53)</f>
        <v>0</v>
      </c>
      <c r="DK52" s="30">
        <f t="shared" ref="DK52" si="1242">SUM(DK53:DK53)</f>
        <v>0</v>
      </c>
      <c r="DL52" s="30">
        <f t="shared" ref="DL52" si="1243">SUM(DL53:DL53)</f>
        <v>0</v>
      </c>
      <c r="DM52" s="30">
        <f t="shared" ref="DM52" si="1244">SUM(DM53:DM53)</f>
        <v>0</v>
      </c>
      <c r="DN52" s="30">
        <f t="shared" ref="DN52" si="1245">SUM(DN53:DN53)</f>
        <v>0</v>
      </c>
      <c r="DO52" s="30">
        <f t="shared" ref="DO52" si="1246">SUM(DO53:DO53)</f>
        <v>0</v>
      </c>
      <c r="DP52" s="30">
        <f t="shared" ref="DP52" si="1247">SUM(DP53:DP53)</f>
        <v>0</v>
      </c>
      <c r="DQ52" s="30">
        <f t="shared" ref="DQ52" si="1248">SUM(DQ53:DQ53)</f>
        <v>0</v>
      </c>
      <c r="DR52" s="30">
        <f t="shared" ref="DR52" si="1249">SUM(DR53:DR53)</f>
        <v>0</v>
      </c>
      <c r="DS52" s="30">
        <f t="shared" ref="DS52" si="1250">SUM(DS53:DS53)</f>
        <v>0</v>
      </c>
      <c r="DT52" s="30">
        <f t="shared" ref="DT52" si="1251">SUM(DT53:DT53)</f>
        <v>0</v>
      </c>
      <c r="DU52" s="30">
        <f t="shared" ref="DU52" si="1252">SUM(DU53:DU53)</f>
        <v>0</v>
      </c>
      <c r="DV52" s="30">
        <f t="shared" si="160"/>
        <v>0</v>
      </c>
      <c r="DW52" s="38"/>
      <c r="DX52" s="30">
        <f>SUM(DX53:DX53)</f>
        <v>0</v>
      </c>
      <c r="DY52" s="30">
        <f t="shared" ref="DY52" si="1253">SUM(DY53:DY53)</f>
        <v>0</v>
      </c>
      <c r="DZ52" s="30">
        <f t="shared" ref="DZ52" si="1254">SUM(DZ53:DZ53)</f>
        <v>0</v>
      </c>
      <c r="EA52" s="30">
        <f t="shared" ref="EA52" si="1255">SUM(EA53:EA53)</f>
        <v>0</v>
      </c>
      <c r="EB52" s="30">
        <f t="shared" ref="EB52" si="1256">SUM(EB53:EB53)</f>
        <v>0</v>
      </c>
      <c r="EC52" s="30">
        <f t="shared" ref="EC52" si="1257">SUM(EC53:EC53)</f>
        <v>0</v>
      </c>
      <c r="ED52" s="30">
        <f t="shared" ref="ED52" si="1258">SUM(ED53:ED53)</f>
        <v>0</v>
      </c>
      <c r="EE52" s="30">
        <f t="shared" ref="EE52" si="1259">SUM(EE53:EE53)</f>
        <v>0</v>
      </c>
      <c r="EF52" s="30">
        <f t="shared" ref="EF52" si="1260">SUM(EF53:EF53)</f>
        <v>0</v>
      </c>
      <c r="EG52" s="30">
        <f t="shared" ref="EG52" si="1261">SUM(EG53:EG53)</f>
        <v>0</v>
      </c>
      <c r="EH52" s="30">
        <f t="shared" ref="EH52" si="1262">SUM(EH53:EH53)</f>
        <v>0</v>
      </c>
      <c r="EI52" s="30">
        <f t="shared" ref="EI52" si="1263">SUM(EI53:EI53)</f>
        <v>0</v>
      </c>
      <c r="EJ52" s="30">
        <f t="shared" si="162"/>
        <v>0</v>
      </c>
    </row>
    <row r="53" spans="1:140">
      <c r="A53" s="8" t="s">
        <v>247</v>
      </c>
      <c r="C53" s="22">
        <f>B53</f>
        <v>0</v>
      </c>
      <c r="D53" s="22">
        <f t="shared" ref="D53:M53" si="1264">C53</f>
        <v>0</v>
      </c>
      <c r="E53" s="22">
        <f t="shared" si="1264"/>
        <v>0</v>
      </c>
      <c r="F53" s="22">
        <f t="shared" si="1264"/>
        <v>0</v>
      </c>
      <c r="G53" s="22">
        <f t="shared" si="1264"/>
        <v>0</v>
      </c>
      <c r="H53" s="22">
        <f t="shared" si="1264"/>
        <v>0</v>
      </c>
      <c r="I53" s="22">
        <f t="shared" si="1264"/>
        <v>0</v>
      </c>
      <c r="J53" s="22">
        <f t="shared" si="1264"/>
        <v>0</v>
      </c>
      <c r="K53" s="22">
        <f t="shared" si="1264"/>
        <v>0</v>
      </c>
      <c r="L53" s="22">
        <f t="shared" si="1264"/>
        <v>0</v>
      </c>
      <c r="M53" s="22">
        <f t="shared" si="1264"/>
        <v>0</v>
      </c>
      <c r="N53" s="30">
        <f t="shared" si="144"/>
        <v>0</v>
      </c>
      <c r="O53" s="38">
        <v>1</v>
      </c>
      <c r="P53" s="22">
        <f>$O53*B53*(1+$P$4)</f>
        <v>0</v>
      </c>
      <c r="Q53" s="22">
        <f t="shared" ref="Q53" si="1265">$O53*C53*(1+Q$4)</f>
        <v>0</v>
      </c>
      <c r="R53" s="22">
        <f t="shared" ref="R53" si="1266">$O53*D53*(1+R$4)</f>
        <v>0</v>
      </c>
      <c r="S53" s="22">
        <f t="shared" ref="S53" si="1267">$O53*E53*(1+S$4)</f>
        <v>0</v>
      </c>
      <c r="T53" s="22">
        <f t="shared" ref="T53" si="1268">$O53*F53*(1+T$4)</f>
        <v>0</v>
      </c>
      <c r="U53" s="22">
        <f t="shared" ref="U53" si="1269">$O53*G53*(1+U$4)</f>
        <v>0</v>
      </c>
      <c r="V53" s="22">
        <f t="shared" ref="V53" si="1270">$O53*H53*(1+V$4)</f>
        <v>0</v>
      </c>
      <c r="W53" s="22">
        <f t="shared" ref="W53" si="1271">$O53*I53*(1+W$4)</f>
        <v>0</v>
      </c>
      <c r="X53" s="22">
        <f t="shared" ref="X53" si="1272">$O53*J53*(1+X$4)</f>
        <v>0</v>
      </c>
      <c r="Y53" s="22">
        <f t="shared" ref="Y53" si="1273">$O53*K53*(1+Y$4)</f>
        <v>0</v>
      </c>
      <c r="Z53" s="22">
        <f t="shared" ref="Z53" si="1274">$O53*L53*(1+Z$4)</f>
        <v>0</v>
      </c>
      <c r="AA53" s="22">
        <f t="shared" ref="AA53" si="1275">$O53*M53*(1+AA$4)</f>
        <v>0</v>
      </c>
      <c r="AB53" s="30">
        <f t="shared" si="146"/>
        <v>0</v>
      </c>
      <c r="AC53" s="38">
        <v>1</v>
      </c>
      <c r="AD53" s="22">
        <f>$AC53*P53*(1+$AD$4)</f>
        <v>0</v>
      </c>
      <c r="AE53" s="22">
        <f t="shared" ref="AE53:AO53" si="1276">$AC53*Q53*(1+$AD$4)</f>
        <v>0</v>
      </c>
      <c r="AF53" s="22">
        <f t="shared" si="1276"/>
        <v>0</v>
      </c>
      <c r="AG53" s="22">
        <f t="shared" si="1276"/>
        <v>0</v>
      </c>
      <c r="AH53" s="22">
        <f t="shared" si="1276"/>
        <v>0</v>
      </c>
      <c r="AI53" s="22">
        <f t="shared" si="1276"/>
        <v>0</v>
      </c>
      <c r="AJ53" s="22">
        <f t="shared" si="1276"/>
        <v>0</v>
      </c>
      <c r="AK53" s="22">
        <f t="shared" si="1276"/>
        <v>0</v>
      </c>
      <c r="AL53" s="22">
        <f t="shared" si="1276"/>
        <v>0</v>
      </c>
      <c r="AM53" s="22">
        <f t="shared" si="1276"/>
        <v>0</v>
      </c>
      <c r="AN53" s="22">
        <f t="shared" si="1276"/>
        <v>0</v>
      </c>
      <c r="AO53" s="22">
        <f t="shared" si="1276"/>
        <v>0</v>
      </c>
      <c r="AP53" s="30">
        <f t="shared" si="148"/>
        <v>0</v>
      </c>
      <c r="AQ53" s="38">
        <v>1</v>
      </c>
      <c r="AR53" s="22">
        <f>$AQ53*AD53*(1+$AR$4)</f>
        <v>0</v>
      </c>
      <c r="AS53" s="22">
        <f t="shared" ref="AS53:BC53" si="1277">$AQ53*AE53*(1+$AR$4)</f>
        <v>0</v>
      </c>
      <c r="AT53" s="22">
        <f t="shared" si="1277"/>
        <v>0</v>
      </c>
      <c r="AU53" s="22">
        <f t="shared" si="1277"/>
        <v>0</v>
      </c>
      <c r="AV53" s="22">
        <f t="shared" si="1277"/>
        <v>0</v>
      </c>
      <c r="AW53" s="22">
        <f t="shared" si="1277"/>
        <v>0</v>
      </c>
      <c r="AX53" s="22">
        <f t="shared" si="1277"/>
        <v>0</v>
      </c>
      <c r="AY53" s="22">
        <f t="shared" si="1277"/>
        <v>0</v>
      </c>
      <c r="AZ53" s="22">
        <f t="shared" si="1277"/>
        <v>0</v>
      </c>
      <c r="BA53" s="22">
        <f t="shared" si="1277"/>
        <v>0</v>
      </c>
      <c r="BB53" s="22">
        <f t="shared" si="1277"/>
        <v>0</v>
      </c>
      <c r="BC53" s="22">
        <f t="shared" si="1277"/>
        <v>0</v>
      </c>
      <c r="BD53" s="30">
        <f t="shared" si="150"/>
        <v>0</v>
      </c>
      <c r="BE53" s="38">
        <v>1</v>
      </c>
      <c r="BF53" s="22">
        <f>$BE53*AR53*(1+$BF$4)</f>
        <v>0</v>
      </c>
      <c r="BG53" s="22">
        <f t="shared" ref="BG53:BQ53" si="1278">$BE53*AS53*(1+$BF$4)</f>
        <v>0</v>
      </c>
      <c r="BH53" s="22">
        <f t="shared" si="1278"/>
        <v>0</v>
      </c>
      <c r="BI53" s="22">
        <f t="shared" si="1278"/>
        <v>0</v>
      </c>
      <c r="BJ53" s="22">
        <f t="shared" si="1278"/>
        <v>0</v>
      </c>
      <c r="BK53" s="22">
        <f t="shared" si="1278"/>
        <v>0</v>
      </c>
      <c r="BL53" s="22">
        <f t="shared" si="1278"/>
        <v>0</v>
      </c>
      <c r="BM53" s="22">
        <f t="shared" si="1278"/>
        <v>0</v>
      </c>
      <c r="BN53" s="22">
        <f t="shared" si="1278"/>
        <v>0</v>
      </c>
      <c r="BO53" s="22">
        <f t="shared" si="1278"/>
        <v>0</v>
      </c>
      <c r="BP53" s="22">
        <f t="shared" si="1278"/>
        <v>0</v>
      </c>
      <c r="BQ53" s="22">
        <f t="shared" si="1278"/>
        <v>0</v>
      </c>
      <c r="BR53" s="30">
        <f t="shared" si="152"/>
        <v>0</v>
      </c>
      <c r="BS53" s="38">
        <v>1</v>
      </c>
      <c r="BT53" s="22">
        <f>$BS53*BF53*(1+$BT$4)</f>
        <v>0</v>
      </c>
      <c r="BU53" s="22">
        <f t="shared" ref="BU53:CE53" si="1279">$BS53*BG53*(1+$BT$4)</f>
        <v>0</v>
      </c>
      <c r="BV53" s="22">
        <f t="shared" si="1279"/>
        <v>0</v>
      </c>
      <c r="BW53" s="22">
        <f t="shared" si="1279"/>
        <v>0</v>
      </c>
      <c r="BX53" s="22">
        <f t="shared" si="1279"/>
        <v>0</v>
      </c>
      <c r="BY53" s="22">
        <f t="shared" si="1279"/>
        <v>0</v>
      </c>
      <c r="BZ53" s="22">
        <f t="shared" si="1279"/>
        <v>0</v>
      </c>
      <c r="CA53" s="22">
        <f t="shared" si="1279"/>
        <v>0</v>
      </c>
      <c r="CB53" s="22">
        <f t="shared" si="1279"/>
        <v>0</v>
      </c>
      <c r="CC53" s="22">
        <f t="shared" si="1279"/>
        <v>0</v>
      </c>
      <c r="CD53" s="22">
        <f t="shared" si="1279"/>
        <v>0</v>
      </c>
      <c r="CE53" s="22">
        <f t="shared" si="1279"/>
        <v>0</v>
      </c>
      <c r="CF53" s="30">
        <f t="shared" si="154"/>
        <v>0</v>
      </c>
      <c r="CG53" s="38">
        <v>1</v>
      </c>
      <c r="CH53" s="22">
        <f>$CG53*BT53*(1+$CH$4)</f>
        <v>0</v>
      </c>
      <c r="CI53" s="22">
        <f t="shared" ref="CI53:CS53" si="1280">$CG53*BU53*(1+$CH$4)</f>
        <v>0</v>
      </c>
      <c r="CJ53" s="22">
        <f t="shared" si="1280"/>
        <v>0</v>
      </c>
      <c r="CK53" s="22">
        <f t="shared" si="1280"/>
        <v>0</v>
      </c>
      <c r="CL53" s="22">
        <f t="shared" si="1280"/>
        <v>0</v>
      </c>
      <c r="CM53" s="22">
        <f t="shared" si="1280"/>
        <v>0</v>
      </c>
      <c r="CN53" s="22">
        <f t="shared" si="1280"/>
        <v>0</v>
      </c>
      <c r="CO53" s="22">
        <f t="shared" si="1280"/>
        <v>0</v>
      </c>
      <c r="CP53" s="22">
        <f t="shared" si="1280"/>
        <v>0</v>
      </c>
      <c r="CQ53" s="22">
        <f t="shared" si="1280"/>
        <v>0</v>
      </c>
      <c r="CR53" s="22">
        <f t="shared" si="1280"/>
        <v>0</v>
      </c>
      <c r="CS53" s="22">
        <f t="shared" si="1280"/>
        <v>0</v>
      </c>
      <c r="CT53" s="30">
        <f t="shared" si="156"/>
        <v>0</v>
      </c>
      <c r="CU53" s="38">
        <v>1</v>
      </c>
      <c r="CV53" s="22">
        <f>$CU53*CH53*(1+$CV$4)</f>
        <v>0</v>
      </c>
      <c r="CW53" s="22">
        <f t="shared" ref="CW53:DG53" si="1281">$CU53*CI53*(1+$CV$4)</f>
        <v>0</v>
      </c>
      <c r="CX53" s="22">
        <f t="shared" si="1281"/>
        <v>0</v>
      </c>
      <c r="CY53" s="22">
        <f t="shared" si="1281"/>
        <v>0</v>
      </c>
      <c r="CZ53" s="22">
        <f t="shared" si="1281"/>
        <v>0</v>
      </c>
      <c r="DA53" s="22">
        <f t="shared" si="1281"/>
        <v>0</v>
      </c>
      <c r="DB53" s="22">
        <f t="shared" si="1281"/>
        <v>0</v>
      </c>
      <c r="DC53" s="22">
        <f t="shared" si="1281"/>
        <v>0</v>
      </c>
      <c r="DD53" s="22">
        <f t="shared" si="1281"/>
        <v>0</v>
      </c>
      <c r="DE53" s="22">
        <f t="shared" si="1281"/>
        <v>0</v>
      </c>
      <c r="DF53" s="22">
        <f t="shared" si="1281"/>
        <v>0</v>
      </c>
      <c r="DG53" s="22">
        <f t="shared" si="1281"/>
        <v>0</v>
      </c>
      <c r="DH53" s="30">
        <f t="shared" si="158"/>
        <v>0</v>
      </c>
      <c r="DI53" s="38">
        <v>1</v>
      </c>
      <c r="DJ53" s="22">
        <f>$DI53*CV53*(1+$DJ$4)</f>
        <v>0</v>
      </c>
      <c r="DK53" s="22">
        <f t="shared" ref="DK53:DU53" si="1282">$DI53*CW53*(1+$DJ$4)</f>
        <v>0</v>
      </c>
      <c r="DL53" s="22">
        <f t="shared" si="1282"/>
        <v>0</v>
      </c>
      <c r="DM53" s="22">
        <f t="shared" si="1282"/>
        <v>0</v>
      </c>
      <c r="DN53" s="22">
        <f t="shared" si="1282"/>
        <v>0</v>
      </c>
      <c r="DO53" s="22">
        <f t="shared" si="1282"/>
        <v>0</v>
      </c>
      <c r="DP53" s="22">
        <f t="shared" si="1282"/>
        <v>0</v>
      </c>
      <c r="DQ53" s="22">
        <f t="shared" si="1282"/>
        <v>0</v>
      </c>
      <c r="DR53" s="22">
        <f t="shared" si="1282"/>
        <v>0</v>
      </c>
      <c r="DS53" s="22">
        <f t="shared" si="1282"/>
        <v>0</v>
      </c>
      <c r="DT53" s="22">
        <f t="shared" si="1282"/>
        <v>0</v>
      </c>
      <c r="DU53" s="22">
        <f t="shared" si="1282"/>
        <v>0</v>
      </c>
      <c r="DV53" s="30">
        <f t="shared" si="160"/>
        <v>0</v>
      </c>
      <c r="DW53" s="38">
        <v>1</v>
      </c>
      <c r="DX53" s="22">
        <f>$DW53*DJ53*(1+$DX$4)</f>
        <v>0</v>
      </c>
      <c r="DY53" s="22">
        <f t="shared" ref="DY53:EI53" si="1283">$DW53*DK53*(1+$DX$4)</f>
        <v>0</v>
      </c>
      <c r="DZ53" s="22">
        <f t="shared" si="1283"/>
        <v>0</v>
      </c>
      <c r="EA53" s="22">
        <f t="shared" si="1283"/>
        <v>0</v>
      </c>
      <c r="EB53" s="22">
        <f t="shared" si="1283"/>
        <v>0</v>
      </c>
      <c r="EC53" s="22">
        <f t="shared" si="1283"/>
        <v>0</v>
      </c>
      <c r="ED53" s="22">
        <f t="shared" si="1283"/>
        <v>0</v>
      </c>
      <c r="EE53" s="22">
        <f t="shared" si="1283"/>
        <v>0</v>
      </c>
      <c r="EF53" s="22">
        <f t="shared" si="1283"/>
        <v>0</v>
      </c>
      <c r="EG53" s="22">
        <f t="shared" si="1283"/>
        <v>0</v>
      </c>
      <c r="EH53" s="22">
        <f t="shared" si="1283"/>
        <v>0</v>
      </c>
      <c r="EI53" s="22">
        <f t="shared" si="1283"/>
        <v>0</v>
      </c>
      <c r="EJ53" s="30">
        <f t="shared" si="162"/>
        <v>0</v>
      </c>
    </row>
    <row r="54" spans="1:140">
      <c r="A54" s="31" t="s">
        <v>248</v>
      </c>
      <c r="B54" s="30">
        <f t="shared" ref="B54:M54" si="1284">B14+B41</f>
        <v>426490</v>
      </c>
      <c r="C54" s="30">
        <f t="shared" si="1284"/>
        <v>426490</v>
      </c>
      <c r="D54" s="30">
        <f t="shared" si="1284"/>
        <v>426490</v>
      </c>
      <c r="E54" s="30">
        <f t="shared" si="1284"/>
        <v>426490</v>
      </c>
      <c r="F54" s="30">
        <f t="shared" si="1284"/>
        <v>426490</v>
      </c>
      <c r="G54" s="30">
        <f t="shared" si="1284"/>
        <v>426490</v>
      </c>
      <c r="H54" s="30">
        <f t="shared" si="1284"/>
        <v>426490</v>
      </c>
      <c r="I54" s="30">
        <f t="shared" si="1284"/>
        <v>426490</v>
      </c>
      <c r="J54" s="30">
        <f t="shared" si="1284"/>
        <v>426490</v>
      </c>
      <c r="K54" s="30">
        <f t="shared" si="1284"/>
        <v>426490</v>
      </c>
      <c r="L54" s="30">
        <f t="shared" si="1284"/>
        <v>426490</v>
      </c>
      <c r="M54" s="30">
        <f t="shared" si="1284"/>
        <v>426490</v>
      </c>
      <c r="N54" s="30">
        <f t="shared" si="144"/>
        <v>5117880</v>
      </c>
      <c r="O54" s="38"/>
      <c r="P54" s="30">
        <f t="shared" ref="P54:AA54" si="1285">P14+P41</f>
        <v>465723.59899999999</v>
      </c>
      <c r="Q54" s="30">
        <f t="shared" si="1285"/>
        <v>465723.59899999999</v>
      </c>
      <c r="R54" s="30">
        <f t="shared" si="1285"/>
        <v>465723.59899999999</v>
      </c>
      <c r="S54" s="30">
        <f t="shared" si="1285"/>
        <v>465723.59899999999</v>
      </c>
      <c r="T54" s="30">
        <f t="shared" si="1285"/>
        <v>465723.59899999999</v>
      </c>
      <c r="U54" s="30">
        <f t="shared" si="1285"/>
        <v>465723.59899999999</v>
      </c>
      <c r="V54" s="30">
        <f t="shared" si="1285"/>
        <v>465723.59899999999</v>
      </c>
      <c r="W54" s="30">
        <f t="shared" si="1285"/>
        <v>465723.59899999999</v>
      </c>
      <c r="X54" s="30">
        <f t="shared" si="1285"/>
        <v>465723.59899999999</v>
      </c>
      <c r="Y54" s="30">
        <f t="shared" si="1285"/>
        <v>465723.59899999999</v>
      </c>
      <c r="Z54" s="30">
        <f t="shared" si="1285"/>
        <v>465723.59899999999</v>
      </c>
      <c r="AA54" s="30">
        <f t="shared" si="1285"/>
        <v>465723.59899999999</v>
      </c>
      <c r="AB54" s="30">
        <f t="shared" si="146"/>
        <v>5588683.188000001</v>
      </c>
      <c r="AC54" s="38"/>
      <c r="AD54" s="30">
        <f t="shared" ref="AD54:AO54" si="1286">AD14+AD41</f>
        <v>510734.21268700005</v>
      </c>
      <c r="AE54" s="30">
        <f t="shared" si="1286"/>
        <v>510734.21268700005</v>
      </c>
      <c r="AF54" s="30">
        <f t="shared" si="1286"/>
        <v>510734.21268700005</v>
      </c>
      <c r="AG54" s="30">
        <f t="shared" si="1286"/>
        <v>510734.21268700005</v>
      </c>
      <c r="AH54" s="30">
        <f t="shared" si="1286"/>
        <v>510734.21268700005</v>
      </c>
      <c r="AI54" s="30">
        <f t="shared" si="1286"/>
        <v>510734.21268700005</v>
      </c>
      <c r="AJ54" s="30">
        <f t="shared" si="1286"/>
        <v>510734.21268700005</v>
      </c>
      <c r="AK54" s="30">
        <f t="shared" si="1286"/>
        <v>510734.21268700005</v>
      </c>
      <c r="AL54" s="30">
        <f t="shared" si="1286"/>
        <v>510734.21268700005</v>
      </c>
      <c r="AM54" s="30">
        <f t="shared" si="1286"/>
        <v>510734.21268700005</v>
      </c>
      <c r="AN54" s="30">
        <f t="shared" si="1286"/>
        <v>510734.21268700005</v>
      </c>
      <c r="AO54" s="30">
        <f t="shared" si="1286"/>
        <v>510734.21268700005</v>
      </c>
      <c r="AP54" s="30">
        <f t="shared" si="148"/>
        <v>6128810.5522440001</v>
      </c>
      <c r="AQ54" s="38"/>
      <c r="AR54" s="30">
        <f t="shared" ref="AR54:BC54" si="1287">AR14+AR41</f>
        <v>560374.05654063111</v>
      </c>
      <c r="AS54" s="30">
        <f t="shared" si="1287"/>
        <v>560374.05654063111</v>
      </c>
      <c r="AT54" s="30">
        <f t="shared" si="1287"/>
        <v>560374.05654063111</v>
      </c>
      <c r="AU54" s="30">
        <f t="shared" si="1287"/>
        <v>560374.05654063111</v>
      </c>
      <c r="AV54" s="30">
        <f t="shared" si="1287"/>
        <v>560374.05654063111</v>
      </c>
      <c r="AW54" s="30">
        <f t="shared" si="1287"/>
        <v>560374.05654063111</v>
      </c>
      <c r="AX54" s="30">
        <f t="shared" si="1287"/>
        <v>560374.05654063111</v>
      </c>
      <c r="AY54" s="30">
        <f t="shared" si="1287"/>
        <v>560374.05654063111</v>
      </c>
      <c r="AZ54" s="30">
        <f t="shared" si="1287"/>
        <v>560374.05654063111</v>
      </c>
      <c r="BA54" s="30">
        <f t="shared" si="1287"/>
        <v>560374.05654063111</v>
      </c>
      <c r="BB54" s="30">
        <f t="shared" si="1287"/>
        <v>560374.05654063111</v>
      </c>
      <c r="BC54" s="30">
        <f t="shared" si="1287"/>
        <v>560374.05654063111</v>
      </c>
      <c r="BD54" s="30">
        <f t="shared" si="150"/>
        <v>6724488.6784875719</v>
      </c>
      <c r="BE54" s="38"/>
      <c r="BF54" s="30">
        <f t="shared" ref="BF54:BQ54" si="1288">BF14+BF41</f>
        <v>615138.81541892234</v>
      </c>
      <c r="BG54" s="30">
        <f t="shared" si="1288"/>
        <v>615138.81541892234</v>
      </c>
      <c r="BH54" s="30">
        <f t="shared" si="1288"/>
        <v>615138.81541892234</v>
      </c>
      <c r="BI54" s="30">
        <f t="shared" si="1288"/>
        <v>615138.81541892234</v>
      </c>
      <c r="BJ54" s="30">
        <f t="shared" si="1288"/>
        <v>615138.81541892234</v>
      </c>
      <c r="BK54" s="30">
        <f t="shared" si="1288"/>
        <v>615138.81541892234</v>
      </c>
      <c r="BL54" s="30">
        <f t="shared" si="1288"/>
        <v>615138.81541892234</v>
      </c>
      <c r="BM54" s="30">
        <f t="shared" si="1288"/>
        <v>615138.81541892234</v>
      </c>
      <c r="BN54" s="30">
        <f t="shared" si="1288"/>
        <v>615138.81541892234</v>
      </c>
      <c r="BO54" s="30">
        <f t="shared" si="1288"/>
        <v>615138.81541892234</v>
      </c>
      <c r="BP54" s="30">
        <f t="shared" si="1288"/>
        <v>615138.81541892234</v>
      </c>
      <c r="BQ54" s="30">
        <f t="shared" si="1288"/>
        <v>615138.81541892234</v>
      </c>
      <c r="BR54" s="30">
        <f t="shared" si="152"/>
        <v>7381665.7850270681</v>
      </c>
      <c r="BS54" s="38"/>
      <c r="BT54" s="30">
        <f t="shared" ref="BT54:CE54" si="1289">BT14+BT41</f>
        <v>675578.5414798127</v>
      </c>
      <c r="BU54" s="30">
        <f t="shared" si="1289"/>
        <v>675578.5414798127</v>
      </c>
      <c r="BV54" s="30">
        <f t="shared" si="1289"/>
        <v>675578.5414798127</v>
      </c>
      <c r="BW54" s="30">
        <f t="shared" si="1289"/>
        <v>675578.5414798127</v>
      </c>
      <c r="BX54" s="30">
        <f t="shared" si="1289"/>
        <v>675578.5414798127</v>
      </c>
      <c r="BY54" s="30">
        <f t="shared" si="1289"/>
        <v>675578.5414798127</v>
      </c>
      <c r="BZ54" s="30">
        <f t="shared" si="1289"/>
        <v>675578.5414798127</v>
      </c>
      <c r="CA54" s="30">
        <f t="shared" si="1289"/>
        <v>675578.5414798127</v>
      </c>
      <c r="CB54" s="30">
        <f t="shared" si="1289"/>
        <v>675578.5414798127</v>
      </c>
      <c r="CC54" s="30">
        <f t="shared" si="1289"/>
        <v>675578.5414798127</v>
      </c>
      <c r="CD54" s="30">
        <f t="shared" si="1289"/>
        <v>675578.5414798127</v>
      </c>
      <c r="CE54" s="30">
        <f t="shared" si="1289"/>
        <v>675578.5414798127</v>
      </c>
      <c r="CF54" s="30">
        <f t="shared" si="154"/>
        <v>8106942.4977577543</v>
      </c>
      <c r="CG54" s="38"/>
      <c r="CH54" s="30">
        <f t="shared" ref="CH54:CS54" si="1290">CH14+CH41</f>
        <v>742303.69898069673</v>
      </c>
      <c r="CI54" s="30">
        <f t="shared" si="1290"/>
        <v>742303.69898069673</v>
      </c>
      <c r="CJ54" s="30">
        <f t="shared" si="1290"/>
        <v>742303.69898069673</v>
      </c>
      <c r="CK54" s="30">
        <f t="shared" si="1290"/>
        <v>742303.69898069673</v>
      </c>
      <c r="CL54" s="30">
        <f t="shared" si="1290"/>
        <v>742303.69898069673</v>
      </c>
      <c r="CM54" s="30">
        <f t="shared" si="1290"/>
        <v>742303.69898069673</v>
      </c>
      <c r="CN54" s="30">
        <f t="shared" si="1290"/>
        <v>742303.69898069673</v>
      </c>
      <c r="CO54" s="30">
        <f t="shared" si="1290"/>
        <v>742303.69898069673</v>
      </c>
      <c r="CP54" s="30">
        <f t="shared" si="1290"/>
        <v>742303.69898069673</v>
      </c>
      <c r="CQ54" s="30">
        <f t="shared" si="1290"/>
        <v>742303.69898069673</v>
      </c>
      <c r="CR54" s="30">
        <f t="shared" si="1290"/>
        <v>742303.69898069673</v>
      </c>
      <c r="CS54" s="30">
        <f t="shared" si="1290"/>
        <v>742303.69898069673</v>
      </c>
      <c r="CT54" s="30">
        <f t="shared" si="156"/>
        <v>8907644.3877683599</v>
      </c>
      <c r="CU54" s="38"/>
      <c r="CV54" s="30">
        <f t="shared" ref="CV54:DG54" si="1291">CV14+CV41</f>
        <v>815991.88621800067</v>
      </c>
      <c r="CW54" s="30">
        <f t="shared" si="1291"/>
        <v>815991.88621800067</v>
      </c>
      <c r="CX54" s="30">
        <f t="shared" si="1291"/>
        <v>815991.88621800067</v>
      </c>
      <c r="CY54" s="30">
        <f t="shared" si="1291"/>
        <v>815991.88621800067</v>
      </c>
      <c r="CZ54" s="30">
        <f t="shared" si="1291"/>
        <v>815991.88621800067</v>
      </c>
      <c r="DA54" s="30">
        <f t="shared" si="1291"/>
        <v>815991.88621800067</v>
      </c>
      <c r="DB54" s="30">
        <f t="shared" si="1291"/>
        <v>815991.88621800067</v>
      </c>
      <c r="DC54" s="30">
        <f t="shared" si="1291"/>
        <v>815991.88621800067</v>
      </c>
      <c r="DD54" s="30">
        <f t="shared" si="1291"/>
        <v>815991.88621800067</v>
      </c>
      <c r="DE54" s="30">
        <f t="shared" si="1291"/>
        <v>815991.88621800067</v>
      </c>
      <c r="DF54" s="30">
        <f t="shared" si="1291"/>
        <v>815991.88621800067</v>
      </c>
      <c r="DG54" s="30">
        <f t="shared" si="1291"/>
        <v>815991.88621800067</v>
      </c>
      <c r="DH54" s="30">
        <f t="shared" si="158"/>
        <v>9791902.6346160062</v>
      </c>
      <c r="DI54" s="38"/>
      <c r="DJ54" s="30">
        <f t="shared" ref="DJ54:DU54" si="1292">DJ14+DJ41</f>
        <v>897395.310768269</v>
      </c>
      <c r="DK54" s="30">
        <f t="shared" si="1292"/>
        <v>897395.310768269</v>
      </c>
      <c r="DL54" s="30">
        <f t="shared" si="1292"/>
        <v>897395.310768269</v>
      </c>
      <c r="DM54" s="30">
        <f t="shared" si="1292"/>
        <v>897395.310768269</v>
      </c>
      <c r="DN54" s="30">
        <f t="shared" si="1292"/>
        <v>897395.310768269</v>
      </c>
      <c r="DO54" s="30">
        <f t="shared" si="1292"/>
        <v>897395.310768269</v>
      </c>
      <c r="DP54" s="30">
        <f t="shared" si="1292"/>
        <v>897395.310768269</v>
      </c>
      <c r="DQ54" s="30">
        <f t="shared" si="1292"/>
        <v>897395.310768269</v>
      </c>
      <c r="DR54" s="30">
        <f t="shared" si="1292"/>
        <v>897395.310768269</v>
      </c>
      <c r="DS54" s="30">
        <f t="shared" si="1292"/>
        <v>897395.310768269</v>
      </c>
      <c r="DT54" s="30">
        <f t="shared" si="1292"/>
        <v>897395.310768269</v>
      </c>
      <c r="DU54" s="30">
        <f t="shared" si="1292"/>
        <v>897395.310768269</v>
      </c>
      <c r="DV54" s="30">
        <f t="shared" si="160"/>
        <v>10768743.729219228</v>
      </c>
      <c r="DW54" s="38"/>
      <c r="DX54" s="30">
        <f t="shared" ref="DX54:EI54" si="1293">DX14+DX41</f>
        <v>987349.10277717549</v>
      </c>
      <c r="DY54" s="30">
        <f t="shared" si="1293"/>
        <v>987349.10277717549</v>
      </c>
      <c r="DZ54" s="30">
        <f t="shared" si="1293"/>
        <v>987349.10277717549</v>
      </c>
      <c r="EA54" s="30">
        <f t="shared" si="1293"/>
        <v>987349.10277717549</v>
      </c>
      <c r="EB54" s="30">
        <f t="shared" si="1293"/>
        <v>987349.10277717549</v>
      </c>
      <c r="EC54" s="30">
        <f t="shared" si="1293"/>
        <v>987349.10277717549</v>
      </c>
      <c r="ED54" s="30">
        <f t="shared" si="1293"/>
        <v>987349.10277717549</v>
      </c>
      <c r="EE54" s="30">
        <f t="shared" si="1293"/>
        <v>987349.10277717549</v>
      </c>
      <c r="EF54" s="30">
        <f t="shared" si="1293"/>
        <v>987349.10277717549</v>
      </c>
      <c r="EG54" s="30">
        <f t="shared" si="1293"/>
        <v>987349.10277717549</v>
      </c>
      <c r="EH54" s="30">
        <f t="shared" si="1293"/>
        <v>987349.10277717549</v>
      </c>
      <c r="EI54" s="30">
        <f t="shared" si="1293"/>
        <v>987349.10277717549</v>
      </c>
      <c r="EJ54" s="30">
        <f t="shared" si="162"/>
        <v>11848189.233326105</v>
      </c>
    </row>
    <row r="55" spans="1:140" s="58" customFormat="1">
      <c r="A55" s="25" t="s">
        <v>249</v>
      </c>
      <c r="B55" s="101" t="s">
        <v>196</v>
      </c>
      <c r="C55" s="101"/>
      <c r="D55" s="101"/>
      <c r="E55" s="101"/>
      <c r="F55" s="101"/>
      <c r="G55" s="101"/>
      <c r="H55" s="101"/>
      <c r="I55" s="101"/>
      <c r="J55" s="101"/>
      <c r="K55" s="101"/>
      <c r="L55" s="101"/>
      <c r="M55" s="101"/>
      <c r="N55" s="101"/>
      <c r="O55" s="59"/>
      <c r="P55" s="101" t="s">
        <v>197</v>
      </c>
      <c r="Q55" s="101"/>
      <c r="R55" s="101"/>
      <c r="S55" s="101"/>
      <c r="T55" s="101"/>
      <c r="U55" s="101"/>
      <c r="V55" s="101"/>
      <c r="W55" s="101"/>
      <c r="X55" s="101"/>
      <c r="Y55" s="101"/>
      <c r="Z55" s="101"/>
      <c r="AA55" s="101"/>
      <c r="AB55" s="101"/>
      <c r="AC55" s="59"/>
      <c r="AD55" s="101" t="s">
        <v>198</v>
      </c>
      <c r="AE55" s="101"/>
      <c r="AF55" s="101"/>
      <c r="AG55" s="101"/>
      <c r="AH55" s="101"/>
      <c r="AI55" s="101"/>
      <c r="AJ55" s="101"/>
      <c r="AK55" s="101"/>
      <c r="AL55" s="101"/>
      <c r="AM55" s="101"/>
      <c r="AN55" s="101"/>
      <c r="AO55" s="101"/>
      <c r="AP55" s="101"/>
      <c r="AQ55" s="59"/>
      <c r="AR55" s="101" t="s">
        <v>199</v>
      </c>
      <c r="AS55" s="101"/>
      <c r="AT55" s="101"/>
      <c r="AU55" s="101"/>
      <c r="AV55" s="101"/>
      <c r="AW55" s="101"/>
      <c r="AX55" s="101"/>
      <c r="AY55" s="101"/>
      <c r="AZ55" s="101"/>
      <c r="BA55" s="101"/>
      <c r="BB55" s="101"/>
      <c r="BC55" s="101"/>
      <c r="BD55" s="101"/>
      <c r="BE55" s="59"/>
      <c r="BF55" s="101" t="s">
        <v>200</v>
      </c>
      <c r="BG55" s="101"/>
      <c r="BH55" s="101"/>
      <c r="BI55" s="101"/>
      <c r="BJ55" s="101"/>
      <c r="BK55" s="101"/>
      <c r="BL55" s="101"/>
      <c r="BM55" s="101"/>
      <c r="BN55" s="101"/>
      <c r="BO55" s="101"/>
      <c r="BP55" s="101"/>
      <c r="BQ55" s="101"/>
      <c r="BR55" s="101"/>
      <c r="BS55" s="59"/>
      <c r="BT55" s="101" t="s">
        <v>201</v>
      </c>
      <c r="BU55" s="101"/>
      <c r="BV55" s="101"/>
      <c r="BW55" s="101"/>
      <c r="BX55" s="101"/>
      <c r="BY55" s="101"/>
      <c r="BZ55" s="101"/>
      <c r="CA55" s="101"/>
      <c r="CB55" s="101"/>
      <c r="CC55" s="101"/>
      <c r="CD55" s="101"/>
      <c r="CE55" s="101"/>
      <c r="CF55" s="101"/>
      <c r="CG55" s="59"/>
      <c r="CH55" s="101" t="s">
        <v>202</v>
      </c>
      <c r="CI55" s="101"/>
      <c r="CJ55" s="101"/>
      <c r="CK55" s="101"/>
      <c r="CL55" s="101"/>
      <c r="CM55" s="101"/>
      <c r="CN55" s="101"/>
      <c r="CO55" s="101"/>
      <c r="CP55" s="101"/>
      <c r="CQ55" s="101"/>
      <c r="CR55" s="101"/>
      <c r="CS55" s="101"/>
      <c r="CT55" s="101"/>
      <c r="CU55" s="59"/>
      <c r="CV55" s="101" t="s">
        <v>203</v>
      </c>
      <c r="CW55" s="101"/>
      <c r="CX55" s="101"/>
      <c r="CY55" s="101"/>
      <c r="CZ55" s="101"/>
      <c r="DA55" s="101"/>
      <c r="DB55" s="101"/>
      <c r="DC55" s="101"/>
      <c r="DD55" s="101"/>
      <c r="DE55" s="101"/>
      <c r="DF55" s="101"/>
      <c r="DG55" s="101"/>
      <c r="DH55" s="101"/>
      <c r="DI55" s="59"/>
      <c r="DJ55" s="101" t="s">
        <v>204</v>
      </c>
      <c r="DK55" s="101"/>
      <c r="DL55" s="101"/>
      <c r="DM55" s="101"/>
      <c r="DN55" s="101"/>
      <c r="DO55" s="101"/>
      <c r="DP55" s="101"/>
      <c r="DQ55" s="101"/>
      <c r="DR55" s="101"/>
      <c r="DS55" s="101"/>
      <c r="DT55" s="101"/>
      <c r="DU55" s="101"/>
      <c r="DV55" s="101"/>
      <c r="DW55" s="59"/>
      <c r="DX55" s="101" t="s">
        <v>205</v>
      </c>
      <c r="DY55" s="101"/>
      <c r="DZ55" s="101"/>
      <c r="EA55" s="101"/>
      <c r="EB55" s="101"/>
      <c r="EC55" s="101"/>
      <c r="ED55" s="101"/>
      <c r="EE55" s="101"/>
      <c r="EF55" s="101"/>
      <c r="EG55" s="101"/>
      <c r="EH55" s="101"/>
      <c r="EI55" s="101"/>
      <c r="EJ55" s="101"/>
    </row>
    <row r="56" spans="1:140" s="26" customFormat="1">
      <c r="A56" s="27" t="s">
        <v>206</v>
      </c>
      <c r="B56" s="26" t="s">
        <v>207</v>
      </c>
      <c r="C56" s="26" t="s">
        <v>208</v>
      </c>
      <c r="D56" s="26" t="s">
        <v>209</v>
      </c>
      <c r="E56" s="26" t="s">
        <v>210</v>
      </c>
      <c r="F56" s="26" t="s">
        <v>211</v>
      </c>
      <c r="G56" s="26" t="s">
        <v>212</v>
      </c>
      <c r="H56" s="26" t="s">
        <v>213</v>
      </c>
      <c r="I56" s="26" t="s">
        <v>214</v>
      </c>
      <c r="J56" s="26" t="s">
        <v>215</v>
      </c>
      <c r="K56" s="26" t="s">
        <v>216</v>
      </c>
      <c r="L56" s="26" t="s">
        <v>217</v>
      </c>
      <c r="M56" s="26" t="s">
        <v>218</v>
      </c>
      <c r="N56" s="28" t="s">
        <v>219</v>
      </c>
      <c r="O56" s="39"/>
      <c r="P56" s="26" t="s">
        <v>207</v>
      </c>
      <c r="Q56" s="26" t="s">
        <v>208</v>
      </c>
      <c r="R56" s="26" t="s">
        <v>209</v>
      </c>
      <c r="S56" s="26" t="s">
        <v>210</v>
      </c>
      <c r="T56" s="26" t="s">
        <v>211</v>
      </c>
      <c r="U56" s="26" t="s">
        <v>212</v>
      </c>
      <c r="V56" s="26" t="s">
        <v>213</v>
      </c>
      <c r="W56" s="26" t="s">
        <v>214</v>
      </c>
      <c r="X56" s="26" t="s">
        <v>215</v>
      </c>
      <c r="Y56" s="26" t="s">
        <v>216</v>
      </c>
      <c r="Z56" s="26" t="s">
        <v>217</v>
      </c>
      <c r="AA56" s="26" t="s">
        <v>218</v>
      </c>
      <c r="AB56" s="28" t="s">
        <v>219</v>
      </c>
      <c r="AC56" s="39"/>
      <c r="AD56" s="26" t="s">
        <v>207</v>
      </c>
      <c r="AE56" s="26" t="s">
        <v>208</v>
      </c>
      <c r="AF56" s="26" t="s">
        <v>209</v>
      </c>
      <c r="AG56" s="26" t="s">
        <v>210</v>
      </c>
      <c r="AH56" s="26" t="s">
        <v>211</v>
      </c>
      <c r="AI56" s="26" t="s">
        <v>212</v>
      </c>
      <c r="AJ56" s="26" t="s">
        <v>213</v>
      </c>
      <c r="AK56" s="26" t="s">
        <v>214</v>
      </c>
      <c r="AL56" s="26" t="s">
        <v>215</v>
      </c>
      <c r="AM56" s="26" t="s">
        <v>216</v>
      </c>
      <c r="AN56" s="26" t="s">
        <v>217</v>
      </c>
      <c r="AO56" s="26" t="s">
        <v>218</v>
      </c>
      <c r="AP56" s="28" t="s">
        <v>219</v>
      </c>
      <c r="AQ56" s="39"/>
      <c r="AR56" s="26" t="s">
        <v>207</v>
      </c>
      <c r="AS56" s="26" t="s">
        <v>208</v>
      </c>
      <c r="AT56" s="26" t="s">
        <v>209</v>
      </c>
      <c r="AU56" s="26" t="s">
        <v>210</v>
      </c>
      <c r="AV56" s="26" t="s">
        <v>211</v>
      </c>
      <c r="AW56" s="26" t="s">
        <v>212</v>
      </c>
      <c r="AX56" s="26" t="s">
        <v>213</v>
      </c>
      <c r="AY56" s="26" t="s">
        <v>214</v>
      </c>
      <c r="AZ56" s="26" t="s">
        <v>215</v>
      </c>
      <c r="BA56" s="26" t="s">
        <v>216</v>
      </c>
      <c r="BB56" s="26" t="s">
        <v>217</v>
      </c>
      <c r="BC56" s="26" t="s">
        <v>218</v>
      </c>
      <c r="BD56" s="28" t="s">
        <v>219</v>
      </c>
      <c r="BE56" s="39"/>
      <c r="BF56" s="26" t="s">
        <v>207</v>
      </c>
      <c r="BG56" s="26" t="s">
        <v>208</v>
      </c>
      <c r="BH56" s="26" t="s">
        <v>209</v>
      </c>
      <c r="BI56" s="26" t="s">
        <v>210</v>
      </c>
      <c r="BJ56" s="26" t="s">
        <v>211</v>
      </c>
      <c r="BK56" s="26" t="s">
        <v>212</v>
      </c>
      <c r="BL56" s="26" t="s">
        <v>213</v>
      </c>
      <c r="BM56" s="26" t="s">
        <v>214</v>
      </c>
      <c r="BN56" s="26" t="s">
        <v>215</v>
      </c>
      <c r="BO56" s="26" t="s">
        <v>216</v>
      </c>
      <c r="BP56" s="26" t="s">
        <v>217</v>
      </c>
      <c r="BQ56" s="26" t="s">
        <v>218</v>
      </c>
      <c r="BR56" s="28" t="s">
        <v>219</v>
      </c>
      <c r="BS56" s="39"/>
      <c r="BT56" s="26" t="s">
        <v>207</v>
      </c>
      <c r="BU56" s="26" t="s">
        <v>208</v>
      </c>
      <c r="BV56" s="26" t="s">
        <v>209</v>
      </c>
      <c r="BW56" s="26" t="s">
        <v>210</v>
      </c>
      <c r="BX56" s="26" t="s">
        <v>211</v>
      </c>
      <c r="BY56" s="26" t="s">
        <v>212</v>
      </c>
      <c r="BZ56" s="26" t="s">
        <v>213</v>
      </c>
      <c r="CA56" s="26" t="s">
        <v>214</v>
      </c>
      <c r="CB56" s="26" t="s">
        <v>215</v>
      </c>
      <c r="CC56" s="26" t="s">
        <v>216</v>
      </c>
      <c r="CD56" s="26" t="s">
        <v>217</v>
      </c>
      <c r="CE56" s="26" t="s">
        <v>218</v>
      </c>
      <c r="CF56" s="28" t="s">
        <v>219</v>
      </c>
      <c r="CG56" s="39"/>
      <c r="CH56" s="26" t="s">
        <v>207</v>
      </c>
      <c r="CI56" s="26" t="s">
        <v>208</v>
      </c>
      <c r="CJ56" s="26" t="s">
        <v>209</v>
      </c>
      <c r="CK56" s="26" t="s">
        <v>210</v>
      </c>
      <c r="CL56" s="26" t="s">
        <v>211</v>
      </c>
      <c r="CM56" s="26" t="s">
        <v>212</v>
      </c>
      <c r="CN56" s="26" t="s">
        <v>213</v>
      </c>
      <c r="CO56" s="26" t="s">
        <v>214</v>
      </c>
      <c r="CP56" s="26" t="s">
        <v>215</v>
      </c>
      <c r="CQ56" s="26" t="s">
        <v>216</v>
      </c>
      <c r="CR56" s="26" t="s">
        <v>217</v>
      </c>
      <c r="CS56" s="26" t="s">
        <v>218</v>
      </c>
      <c r="CT56" s="28" t="s">
        <v>219</v>
      </c>
      <c r="CU56" s="39"/>
      <c r="CV56" s="26" t="s">
        <v>207</v>
      </c>
      <c r="CW56" s="26" t="s">
        <v>208</v>
      </c>
      <c r="CX56" s="26" t="s">
        <v>209</v>
      </c>
      <c r="CY56" s="26" t="s">
        <v>210</v>
      </c>
      <c r="CZ56" s="26" t="s">
        <v>211</v>
      </c>
      <c r="DA56" s="26" t="s">
        <v>212</v>
      </c>
      <c r="DB56" s="26" t="s">
        <v>213</v>
      </c>
      <c r="DC56" s="26" t="s">
        <v>214</v>
      </c>
      <c r="DD56" s="26" t="s">
        <v>215</v>
      </c>
      <c r="DE56" s="26" t="s">
        <v>216</v>
      </c>
      <c r="DF56" s="26" t="s">
        <v>217</v>
      </c>
      <c r="DG56" s="26" t="s">
        <v>218</v>
      </c>
      <c r="DH56" s="28" t="s">
        <v>219</v>
      </c>
      <c r="DI56" s="39"/>
      <c r="DJ56" s="26" t="s">
        <v>207</v>
      </c>
      <c r="DK56" s="26" t="s">
        <v>208</v>
      </c>
      <c r="DL56" s="26" t="s">
        <v>209</v>
      </c>
      <c r="DM56" s="26" t="s">
        <v>210</v>
      </c>
      <c r="DN56" s="26" t="s">
        <v>211</v>
      </c>
      <c r="DO56" s="26" t="s">
        <v>212</v>
      </c>
      <c r="DP56" s="26" t="s">
        <v>213</v>
      </c>
      <c r="DQ56" s="26" t="s">
        <v>214</v>
      </c>
      <c r="DR56" s="26" t="s">
        <v>215</v>
      </c>
      <c r="DS56" s="26" t="s">
        <v>216</v>
      </c>
      <c r="DT56" s="26" t="s">
        <v>217</v>
      </c>
      <c r="DU56" s="26" t="s">
        <v>218</v>
      </c>
      <c r="DV56" s="28" t="s">
        <v>219</v>
      </c>
      <c r="DW56" s="39"/>
      <c r="DX56" s="26" t="s">
        <v>207</v>
      </c>
      <c r="DY56" s="26" t="s">
        <v>208</v>
      </c>
      <c r="DZ56" s="26" t="s">
        <v>209</v>
      </c>
      <c r="EA56" s="26" t="s">
        <v>210</v>
      </c>
      <c r="EB56" s="26" t="s">
        <v>211</v>
      </c>
      <c r="EC56" s="26" t="s">
        <v>212</v>
      </c>
      <c r="ED56" s="26" t="s">
        <v>213</v>
      </c>
      <c r="EE56" s="26" t="s">
        <v>214</v>
      </c>
      <c r="EF56" s="26" t="s">
        <v>215</v>
      </c>
      <c r="EG56" s="26" t="s">
        <v>216</v>
      </c>
      <c r="EH56" s="26" t="s">
        <v>217</v>
      </c>
      <c r="EI56" s="26" t="s">
        <v>218</v>
      </c>
      <c r="EJ56" s="28" t="s">
        <v>219</v>
      </c>
    </row>
    <row r="57" spans="1:140">
      <c r="A57" s="22" t="s">
        <v>250</v>
      </c>
      <c r="B57" s="30">
        <f t="shared" ref="B57:M57" si="1294">B11</f>
        <v>592000</v>
      </c>
      <c r="C57" s="30">
        <f t="shared" si="1294"/>
        <v>592000</v>
      </c>
      <c r="D57" s="30">
        <f t="shared" si="1294"/>
        <v>592000</v>
      </c>
      <c r="E57" s="30">
        <f t="shared" si="1294"/>
        <v>592000</v>
      </c>
      <c r="F57" s="30">
        <f t="shared" si="1294"/>
        <v>592000</v>
      </c>
      <c r="G57" s="30">
        <f t="shared" si="1294"/>
        <v>592000</v>
      </c>
      <c r="H57" s="30">
        <f t="shared" si="1294"/>
        <v>592000</v>
      </c>
      <c r="I57" s="30">
        <f t="shared" si="1294"/>
        <v>592000</v>
      </c>
      <c r="J57" s="30">
        <f t="shared" si="1294"/>
        <v>592000</v>
      </c>
      <c r="K57" s="30">
        <f t="shared" si="1294"/>
        <v>592000</v>
      </c>
      <c r="L57" s="30">
        <f t="shared" si="1294"/>
        <v>592000</v>
      </c>
      <c r="M57" s="30">
        <f t="shared" si="1294"/>
        <v>592000</v>
      </c>
      <c r="N57" s="30">
        <f>SUM(B57:M57)</f>
        <v>7104000</v>
      </c>
      <c r="O57" s="38"/>
      <c r="P57" s="30">
        <f t="shared" ref="P57:AA57" si="1295">P11</f>
        <v>652443.20000000007</v>
      </c>
      <c r="Q57" s="30">
        <f t="shared" si="1295"/>
        <v>652443.20000000007</v>
      </c>
      <c r="R57" s="30">
        <f t="shared" si="1295"/>
        <v>652443.20000000007</v>
      </c>
      <c r="S57" s="30">
        <f t="shared" si="1295"/>
        <v>652443.20000000007</v>
      </c>
      <c r="T57" s="30">
        <f t="shared" si="1295"/>
        <v>652443.20000000007</v>
      </c>
      <c r="U57" s="30">
        <f t="shared" si="1295"/>
        <v>652443.20000000007</v>
      </c>
      <c r="V57" s="30">
        <f t="shared" si="1295"/>
        <v>652443.20000000007</v>
      </c>
      <c r="W57" s="30">
        <f t="shared" si="1295"/>
        <v>652443.20000000007</v>
      </c>
      <c r="X57" s="30">
        <f t="shared" si="1295"/>
        <v>652443.20000000007</v>
      </c>
      <c r="Y57" s="30">
        <f t="shared" si="1295"/>
        <v>652443.20000000007</v>
      </c>
      <c r="Z57" s="30">
        <f t="shared" si="1295"/>
        <v>652443.20000000007</v>
      </c>
      <c r="AA57" s="30">
        <f t="shared" si="1295"/>
        <v>652443.20000000007</v>
      </c>
      <c r="AB57" s="30">
        <f>SUM(P57:AA57)</f>
        <v>7829318.4000000013</v>
      </c>
      <c r="AC57" s="38"/>
      <c r="AD57" s="30">
        <f t="shared" ref="AD57:AO57" si="1296">AD11</f>
        <v>726169.2816000001</v>
      </c>
      <c r="AE57" s="30">
        <f t="shared" si="1296"/>
        <v>726169.2816000001</v>
      </c>
      <c r="AF57" s="30">
        <f t="shared" si="1296"/>
        <v>726169.2816000001</v>
      </c>
      <c r="AG57" s="30">
        <f t="shared" si="1296"/>
        <v>726169.2816000001</v>
      </c>
      <c r="AH57" s="30">
        <f t="shared" si="1296"/>
        <v>726169.2816000001</v>
      </c>
      <c r="AI57" s="30">
        <f t="shared" si="1296"/>
        <v>726169.2816000001</v>
      </c>
      <c r="AJ57" s="30">
        <f t="shared" si="1296"/>
        <v>726169.2816000001</v>
      </c>
      <c r="AK57" s="30">
        <f t="shared" si="1296"/>
        <v>726169.2816000001</v>
      </c>
      <c r="AL57" s="30">
        <f t="shared" si="1296"/>
        <v>726169.2816000001</v>
      </c>
      <c r="AM57" s="30">
        <f t="shared" si="1296"/>
        <v>726169.2816000001</v>
      </c>
      <c r="AN57" s="30">
        <f t="shared" si="1296"/>
        <v>726169.2816000001</v>
      </c>
      <c r="AO57" s="30">
        <f t="shared" si="1296"/>
        <v>726169.2816000001</v>
      </c>
      <c r="AP57" s="30">
        <f>SUM(AD57:AO57)</f>
        <v>8714031.3792000022</v>
      </c>
      <c r="AQ57" s="38"/>
      <c r="AR57" s="30">
        <f t="shared" ref="AR57:BC57" si="1297">AR11</f>
        <v>808226.41042080009</v>
      </c>
      <c r="AS57" s="30">
        <f t="shared" si="1297"/>
        <v>808226.41042080009</v>
      </c>
      <c r="AT57" s="30">
        <f t="shared" si="1297"/>
        <v>808226.41042080009</v>
      </c>
      <c r="AU57" s="30">
        <f t="shared" si="1297"/>
        <v>808226.41042080009</v>
      </c>
      <c r="AV57" s="30">
        <f t="shared" si="1297"/>
        <v>808226.41042080009</v>
      </c>
      <c r="AW57" s="30">
        <f t="shared" si="1297"/>
        <v>808226.41042080009</v>
      </c>
      <c r="AX57" s="30">
        <f t="shared" si="1297"/>
        <v>808226.41042080009</v>
      </c>
      <c r="AY57" s="30">
        <f t="shared" si="1297"/>
        <v>808226.41042080009</v>
      </c>
      <c r="AZ57" s="30">
        <f t="shared" si="1297"/>
        <v>808226.41042080009</v>
      </c>
      <c r="BA57" s="30">
        <f t="shared" si="1297"/>
        <v>808226.41042080009</v>
      </c>
      <c r="BB57" s="30">
        <f t="shared" si="1297"/>
        <v>808226.41042080009</v>
      </c>
      <c r="BC57" s="30">
        <f t="shared" si="1297"/>
        <v>808226.41042080009</v>
      </c>
      <c r="BD57" s="30">
        <f>SUM(AR57:BC57)</f>
        <v>9698716.9250495993</v>
      </c>
      <c r="BE57" s="38"/>
      <c r="BF57" s="30">
        <f t="shared" ref="BF57:BQ57" si="1298">BF11</f>
        <v>899555.99479835073</v>
      </c>
      <c r="BG57" s="30">
        <f t="shared" si="1298"/>
        <v>899555.99479835073</v>
      </c>
      <c r="BH57" s="30">
        <f t="shared" si="1298"/>
        <v>899555.99479835073</v>
      </c>
      <c r="BI57" s="30">
        <f t="shared" si="1298"/>
        <v>899555.99479835073</v>
      </c>
      <c r="BJ57" s="30">
        <f t="shared" si="1298"/>
        <v>899555.99479835073</v>
      </c>
      <c r="BK57" s="30">
        <f t="shared" si="1298"/>
        <v>899555.99479835073</v>
      </c>
      <c r="BL57" s="30">
        <f t="shared" si="1298"/>
        <v>899555.99479835073</v>
      </c>
      <c r="BM57" s="30">
        <f t="shared" si="1298"/>
        <v>899555.99479835073</v>
      </c>
      <c r="BN57" s="30">
        <f t="shared" si="1298"/>
        <v>899555.99479835073</v>
      </c>
      <c r="BO57" s="30">
        <f t="shared" si="1298"/>
        <v>899555.99479835073</v>
      </c>
      <c r="BP57" s="30">
        <f t="shared" si="1298"/>
        <v>899555.99479835073</v>
      </c>
      <c r="BQ57" s="30">
        <f t="shared" si="1298"/>
        <v>899555.99479835073</v>
      </c>
      <c r="BR57" s="30">
        <f>SUM(BF57:BQ57)</f>
        <v>10794671.937580211</v>
      </c>
      <c r="BS57" s="38"/>
      <c r="BT57" s="30">
        <f t="shared" ref="BT57:CE57" si="1299">BT11</f>
        <v>1001205.8222105643</v>
      </c>
      <c r="BU57" s="30">
        <f t="shared" si="1299"/>
        <v>1001205.8222105643</v>
      </c>
      <c r="BV57" s="30">
        <f t="shared" si="1299"/>
        <v>1001205.8222105643</v>
      </c>
      <c r="BW57" s="30">
        <f t="shared" si="1299"/>
        <v>1001205.8222105643</v>
      </c>
      <c r="BX57" s="30">
        <f t="shared" si="1299"/>
        <v>1001205.8222105643</v>
      </c>
      <c r="BY57" s="30">
        <f t="shared" si="1299"/>
        <v>1001205.8222105643</v>
      </c>
      <c r="BZ57" s="30">
        <f t="shared" si="1299"/>
        <v>1001205.8222105643</v>
      </c>
      <c r="CA57" s="30">
        <f t="shared" si="1299"/>
        <v>1001205.8222105643</v>
      </c>
      <c r="CB57" s="30">
        <f t="shared" si="1299"/>
        <v>1001205.8222105643</v>
      </c>
      <c r="CC57" s="30">
        <f t="shared" si="1299"/>
        <v>1001205.8222105643</v>
      </c>
      <c r="CD57" s="30">
        <f t="shared" si="1299"/>
        <v>1001205.8222105643</v>
      </c>
      <c r="CE57" s="30">
        <f t="shared" si="1299"/>
        <v>1001205.8222105643</v>
      </c>
      <c r="CF57" s="30">
        <f>SUM(BT57:CE57)</f>
        <v>12014469.866526775</v>
      </c>
      <c r="CG57" s="38"/>
      <c r="CH57" s="30">
        <f t="shared" ref="CH57:CS57" si="1300">CH11</f>
        <v>1114342.0801203582</v>
      </c>
      <c r="CI57" s="30">
        <f t="shared" si="1300"/>
        <v>1114342.0801203582</v>
      </c>
      <c r="CJ57" s="30">
        <f t="shared" si="1300"/>
        <v>1114342.0801203582</v>
      </c>
      <c r="CK57" s="30">
        <f t="shared" si="1300"/>
        <v>1114342.0801203582</v>
      </c>
      <c r="CL57" s="30">
        <f t="shared" si="1300"/>
        <v>1114342.0801203582</v>
      </c>
      <c r="CM57" s="30">
        <f t="shared" si="1300"/>
        <v>1114342.0801203582</v>
      </c>
      <c r="CN57" s="30">
        <f t="shared" si="1300"/>
        <v>1114342.0801203582</v>
      </c>
      <c r="CO57" s="30">
        <f t="shared" si="1300"/>
        <v>1114342.0801203582</v>
      </c>
      <c r="CP57" s="30">
        <f t="shared" si="1300"/>
        <v>1114342.0801203582</v>
      </c>
      <c r="CQ57" s="30">
        <f t="shared" si="1300"/>
        <v>1114342.0801203582</v>
      </c>
      <c r="CR57" s="30">
        <f t="shared" si="1300"/>
        <v>1114342.0801203582</v>
      </c>
      <c r="CS57" s="30">
        <f t="shared" si="1300"/>
        <v>1114342.0801203582</v>
      </c>
      <c r="CT57" s="30">
        <f>SUM(CH57:CS57)</f>
        <v>13372104.961444302</v>
      </c>
      <c r="CU57" s="38"/>
      <c r="CV57" s="30">
        <f t="shared" ref="CV57:DG57" si="1301">CV11</f>
        <v>1240262.7351739586</v>
      </c>
      <c r="CW57" s="30">
        <f t="shared" si="1301"/>
        <v>1240262.7351739586</v>
      </c>
      <c r="CX57" s="30">
        <f t="shared" si="1301"/>
        <v>1240262.7351739586</v>
      </c>
      <c r="CY57" s="30">
        <f t="shared" si="1301"/>
        <v>1240262.7351739586</v>
      </c>
      <c r="CZ57" s="30">
        <f t="shared" si="1301"/>
        <v>1240262.7351739586</v>
      </c>
      <c r="DA57" s="30">
        <f t="shared" si="1301"/>
        <v>1240262.7351739586</v>
      </c>
      <c r="DB57" s="30">
        <f t="shared" si="1301"/>
        <v>1240262.7351739586</v>
      </c>
      <c r="DC57" s="30">
        <f t="shared" si="1301"/>
        <v>1240262.7351739586</v>
      </c>
      <c r="DD57" s="30">
        <f t="shared" si="1301"/>
        <v>1240262.7351739586</v>
      </c>
      <c r="DE57" s="30">
        <f t="shared" si="1301"/>
        <v>1240262.7351739586</v>
      </c>
      <c r="DF57" s="30">
        <f t="shared" si="1301"/>
        <v>1240262.7351739586</v>
      </c>
      <c r="DG57" s="30">
        <f t="shared" si="1301"/>
        <v>1240262.7351739586</v>
      </c>
      <c r="DH57" s="30">
        <f>SUM(CV57:DG57)</f>
        <v>14883152.822087506</v>
      </c>
      <c r="DI57" s="38"/>
      <c r="DJ57" s="30">
        <f t="shared" ref="DJ57:DU57" si="1302">DJ11</f>
        <v>1380412.424248616</v>
      </c>
      <c r="DK57" s="30">
        <f t="shared" si="1302"/>
        <v>1380412.424248616</v>
      </c>
      <c r="DL57" s="30">
        <f t="shared" si="1302"/>
        <v>1380412.424248616</v>
      </c>
      <c r="DM57" s="30">
        <f t="shared" si="1302"/>
        <v>1380412.424248616</v>
      </c>
      <c r="DN57" s="30">
        <f t="shared" si="1302"/>
        <v>1380412.424248616</v>
      </c>
      <c r="DO57" s="30">
        <f t="shared" si="1302"/>
        <v>1380412.424248616</v>
      </c>
      <c r="DP57" s="30">
        <f t="shared" si="1302"/>
        <v>1380412.424248616</v>
      </c>
      <c r="DQ57" s="30">
        <f t="shared" si="1302"/>
        <v>1380412.424248616</v>
      </c>
      <c r="DR57" s="30">
        <f t="shared" si="1302"/>
        <v>1380412.424248616</v>
      </c>
      <c r="DS57" s="30">
        <f t="shared" si="1302"/>
        <v>1380412.424248616</v>
      </c>
      <c r="DT57" s="30">
        <f t="shared" si="1302"/>
        <v>1380412.424248616</v>
      </c>
      <c r="DU57" s="30">
        <f t="shared" si="1302"/>
        <v>1380412.424248616</v>
      </c>
      <c r="DV57" s="30">
        <f>SUM(DJ57:DU57)</f>
        <v>16564949.090983389</v>
      </c>
      <c r="DW57" s="38"/>
      <c r="DX57" s="30">
        <f t="shared" ref="DX57:EI57" si="1303">DX11</f>
        <v>1536399.0281887094</v>
      </c>
      <c r="DY57" s="30">
        <f t="shared" si="1303"/>
        <v>1536399.0281887094</v>
      </c>
      <c r="DZ57" s="30">
        <f t="shared" si="1303"/>
        <v>1536399.0281887094</v>
      </c>
      <c r="EA57" s="30">
        <f t="shared" si="1303"/>
        <v>1536399.0281887094</v>
      </c>
      <c r="EB57" s="30">
        <f t="shared" si="1303"/>
        <v>1536399.0281887094</v>
      </c>
      <c r="EC57" s="30">
        <f t="shared" si="1303"/>
        <v>1536399.0281887094</v>
      </c>
      <c r="ED57" s="30">
        <f t="shared" si="1303"/>
        <v>1536399.0281887094</v>
      </c>
      <c r="EE57" s="30">
        <f t="shared" si="1303"/>
        <v>1536399.0281887094</v>
      </c>
      <c r="EF57" s="30">
        <f t="shared" si="1303"/>
        <v>1536399.0281887094</v>
      </c>
      <c r="EG57" s="30">
        <f t="shared" si="1303"/>
        <v>1536399.0281887094</v>
      </c>
      <c r="EH57" s="30">
        <f t="shared" si="1303"/>
        <v>1536399.0281887094</v>
      </c>
      <c r="EI57" s="30">
        <f t="shared" si="1303"/>
        <v>1536399.0281887094</v>
      </c>
      <c r="EJ57" s="30">
        <f>SUM(DX57:EI57)</f>
        <v>18436788.338264514</v>
      </c>
    </row>
    <row r="58" spans="1:140">
      <c r="A58" s="22" t="s">
        <v>251</v>
      </c>
      <c r="B58" s="30">
        <f>B54</f>
        <v>426490</v>
      </c>
      <c r="C58" s="30">
        <f t="shared" ref="C58:M58" si="1304">C54</f>
        <v>426490</v>
      </c>
      <c r="D58" s="30">
        <f t="shared" si="1304"/>
        <v>426490</v>
      </c>
      <c r="E58" s="30">
        <f t="shared" si="1304"/>
        <v>426490</v>
      </c>
      <c r="F58" s="30">
        <f t="shared" si="1304"/>
        <v>426490</v>
      </c>
      <c r="G58" s="30">
        <f t="shared" si="1304"/>
        <v>426490</v>
      </c>
      <c r="H58" s="30">
        <f t="shared" si="1304"/>
        <v>426490</v>
      </c>
      <c r="I58" s="30">
        <f t="shared" si="1304"/>
        <v>426490</v>
      </c>
      <c r="J58" s="30">
        <f t="shared" si="1304"/>
        <v>426490</v>
      </c>
      <c r="K58" s="30">
        <f t="shared" si="1304"/>
        <v>426490</v>
      </c>
      <c r="L58" s="30">
        <f t="shared" si="1304"/>
        <v>426490</v>
      </c>
      <c r="M58" s="30">
        <f t="shared" si="1304"/>
        <v>426490</v>
      </c>
      <c r="N58" s="30">
        <f>SUM(B58:M58)</f>
        <v>5117880</v>
      </c>
      <c r="O58" s="38"/>
      <c r="P58" s="30">
        <f>P54</f>
        <v>465723.59899999999</v>
      </c>
      <c r="Q58" s="30">
        <f t="shared" ref="Q58:AA58" si="1305">Q54</f>
        <v>465723.59899999999</v>
      </c>
      <c r="R58" s="30">
        <f t="shared" si="1305"/>
        <v>465723.59899999999</v>
      </c>
      <c r="S58" s="30">
        <f t="shared" si="1305"/>
        <v>465723.59899999999</v>
      </c>
      <c r="T58" s="30">
        <f t="shared" si="1305"/>
        <v>465723.59899999999</v>
      </c>
      <c r="U58" s="30">
        <f t="shared" si="1305"/>
        <v>465723.59899999999</v>
      </c>
      <c r="V58" s="30">
        <f t="shared" si="1305"/>
        <v>465723.59899999999</v>
      </c>
      <c r="W58" s="30">
        <f t="shared" si="1305"/>
        <v>465723.59899999999</v>
      </c>
      <c r="X58" s="30">
        <f t="shared" si="1305"/>
        <v>465723.59899999999</v>
      </c>
      <c r="Y58" s="30">
        <f t="shared" si="1305"/>
        <v>465723.59899999999</v>
      </c>
      <c r="Z58" s="30">
        <f t="shared" si="1305"/>
        <v>465723.59899999999</v>
      </c>
      <c r="AA58" s="30">
        <f t="shared" si="1305"/>
        <v>465723.59899999999</v>
      </c>
      <c r="AB58" s="30">
        <f>SUM(P58:AA58)</f>
        <v>5588683.188000001</v>
      </c>
      <c r="AC58" s="38"/>
      <c r="AD58" s="30">
        <f>AD54</f>
        <v>510734.21268700005</v>
      </c>
      <c r="AE58" s="30">
        <f t="shared" ref="AE58:AO58" si="1306">AE54</f>
        <v>510734.21268700005</v>
      </c>
      <c r="AF58" s="30">
        <f t="shared" si="1306"/>
        <v>510734.21268700005</v>
      </c>
      <c r="AG58" s="30">
        <f t="shared" si="1306"/>
        <v>510734.21268700005</v>
      </c>
      <c r="AH58" s="30">
        <f t="shared" si="1306"/>
        <v>510734.21268700005</v>
      </c>
      <c r="AI58" s="30">
        <f t="shared" si="1306"/>
        <v>510734.21268700005</v>
      </c>
      <c r="AJ58" s="30">
        <f t="shared" si="1306"/>
        <v>510734.21268700005</v>
      </c>
      <c r="AK58" s="30">
        <f t="shared" si="1306"/>
        <v>510734.21268700005</v>
      </c>
      <c r="AL58" s="30">
        <f t="shared" si="1306"/>
        <v>510734.21268700005</v>
      </c>
      <c r="AM58" s="30">
        <f t="shared" si="1306"/>
        <v>510734.21268700005</v>
      </c>
      <c r="AN58" s="30">
        <f t="shared" si="1306"/>
        <v>510734.21268700005</v>
      </c>
      <c r="AO58" s="30">
        <f t="shared" si="1306"/>
        <v>510734.21268700005</v>
      </c>
      <c r="AP58" s="30">
        <f>SUM(AD58:AO58)</f>
        <v>6128810.5522440001</v>
      </c>
      <c r="AQ58" s="38"/>
      <c r="AR58" s="30">
        <f>AR54</f>
        <v>560374.05654063111</v>
      </c>
      <c r="AS58" s="30">
        <f t="shared" ref="AS58:BC58" si="1307">AS54</f>
        <v>560374.05654063111</v>
      </c>
      <c r="AT58" s="30">
        <f t="shared" si="1307"/>
        <v>560374.05654063111</v>
      </c>
      <c r="AU58" s="30">
        <f t="shared" si="1307"/>
        <v>560374.05654063111</v>
      </c>
      <c r="AV58" s="30">
        <f t="shared" si="1307"/>
        <v>560374.05654063111</v>
      </c>
      <c r="AW58" s="30">
        <f t="shared" si="1307"/>
        <v>560374.05654063111</v>
      </c>
      <c r="AX58" s="30">
        <f t="shared" si="1307"/>
        <v>560374.05654063111</v>
      </c>
      <c r="AY58" s="30">
        <f t="shared" si="1307"/>
        <v>560374.05654063111</v>
      </c>
      <c r="AZ58" s="30">
        <f t="shared" si="1307"/>
        <v>560374.05654063111</v>
      </c>
      <c r="BA58" s="30">
        <f t="shared" si="1307"/>
        <v>560374.05654063111</v>
      </c>
      <c r="BB58" s="30">
        <f t="shared" si="1307"/>
        <v>560374.05654063111</v>
      </c>
      <c r="BC58" s="30">
        <f t="shared" si="1307"/>
        <v>560374.05654063111</v>
      </c>
      <c r="BD58" s="30">
        <f>SUM(AR58:BC58)</f>
        <v>6724488.6784875719</v>
      </c>
      <c r="BE58" s="38"/>
      <c r="BF58" s="30">
        <f>BF54</f>
        <v>615138.81541892234</v>
      </c>
      <c r="BG58" s="30">
        <f t="shared" ref="BG58:BQ58" si="1308">BG54</f>
        <v>615138.81541892234</v>
      </c>
      <c r="BH58" s="30">
        <f t="shared" si="1308"/>
        <v>615138.81541892234</v>
      </c>
      <c r="BI58" s="30">
        <f t="shared" si="1308"/>
        <v>615138.81541892234</v>
      </c>
      <c r="BJ58" s="30">
        <f t="shared" si="1308"/>
        <v>615138.81541892234</v>
      </c>
      <c r="BK58" s="30">
        <f t="shared" si="1308"/>
        <v>615138.81541892234</v>
      </c>
      <c r="BL58" s="30">
        <f t="shared" si="1308"/>
        <v>615138.81541892234</v>
      </c>
      <c r="BM58" s="30">
        <f t="shared" si="1308"/>
        <v>615138.81541892234</v>
      </c>
      <c r="BN58" s="30">
        <f t="shared" si="1308"/>
        <v>615138.81541892234</v>
      </c>
      <c r="BO58" s="30">
        <f t="shared" si="1308"/>
        <v>615138.81541892234</v>
      </c>
      <c r="BP58" s="30">
        <f t="shared" si="1308"/>
        <v>615138.81541892234</v>
      </c>
      <c r="BQ58" s="30">
        <f t="shared" si="1308"/>
        <v>615138.81541892234</v>
      </c>
      <c r="BR58" s="30">
        <f>SUM(BF58:BQ58)</f>
        <v>7381665.7850270681</v>
      </c>
      <c r="BS58" s="38"/>
      <c r="BT58" s="30">
        <f>BT54</f>
        <v>675578.5414798127</v>
      </c>
      <c r="BU58" s="30">
        <f t="shared" ref="BU58:CE58" si="1309">BU54</f>
        <v>675578.5414798127</v>
      </c>
      <c r="BV58" s="30">
        <f t="shared" si="1309"/>
        <v>675578.5414798127</v>
      </c>
      <c r="BW58" s="30">
        <f t="shared" si="1309"/>
        <v>675578.5414798127</v>
      </c>
      <c r="BX58" s="30">
        <f t="shared" si="1309"/>
        <v>675578.5414798127</v>
      </c>
      <c r="BY58" s="30">
        <f t="shared" si="1309"/>
        <v>675578.5414798127</v>
      </c>
      <c r="BZ58" s="30">
        <f t="shared" si="1309"/>
        <v>675578.5414798127</v>
      </c>
      <c r="CA58" s="30">
        <f t="shared" si="1309"/>
        <v>675578.5414798127</v>
      </c>
      <c r="CB58" s="30">
        <f t="shared" si="1309"/>
        <v>675578.5414798127</v>
      </c>
      <c r="CC58" s="30">
        <f t="shared" si="1309"/>
        <v>675578.5414798127</v>
      </c>
      <c r="CD58" s="30">
        <f t="shared" si="1309"/>
        <v>675578.5414798127</v>
      </c>
      <c r="CE58" s="30">
        <f t="shared" si="1309"/>
        <v>675578.5414798127</v>
      </c>
      <c r="CF58" s="30">
        <f>SUM(BT58:CE58)</f>
        <v>8106942.4977577543</v>
      </c>
      <c r="CG58" s="38"/>
      <c r="CH58" s="30">
        <f>CH54</f>
        <v>742303.69898069673</v>
      </c>
      <c r="CI58" s="30">
        <f t="shared" ref="CI58:CS58" si="1310">CI54</f>
        <v>742303.69898069673</v>
      </c>
      <c r="CJ58" s="30">
        <f t="shared" si="1310"/>
        <v>742303.69898069673</v>
      </c>
      <c r="CK58" s="30">
        <f t="shared" si="1310"/>
        <v>742303.69898069673</v>
      </c>
      <c r="CL58" s="30">
        <f t="shared" si="1310"/>
        <v>742303.69898069673</v>
      </c>
      <c r="CM58" s="30">
        <f t="shared" si="1310"/>
        <v>742303.69898069673</v>
      </c>
      <c r="CN58" s="30">
        <f t="shared" si="1310"/>
        <v>742303.69898069673</v>
      </c>
      <c r="CO58" s="30">
        <f t="shared" si="1310"/>
        <v>742303.69898069673</v>
      </c>
      <c r="CP58" s="30">
        <f t="shared" si="1310"/>
        <v>742303.69898069673</v>
      </c>
      <c r="CQ58" s="30">
        <f t="shared" si="1310"/>
        <v>742303.69898069673</v>
      </c>
      <c r="CR58" s="30">
        <f t="shared" si="1310"/>
        <v>742303.69898069673</v>
      </c>
      <c r="CS58" s="30">
        <f t="shared" si="1310"/>
        <v>742303.69898069673</v>
      </c>
      <c r="CT58" s="30">
        <f>SUM(CH58:CS58)</f>
        <v>8907644.3877683599</v>
      </c>
      <c r="CU58" s="38"/>
      <c r="CV58" s="30">
        <f>CV54</f>
        <v>815991.88621800067</v>
      </c>
      <c r="CW58" s="30">
        <f t="shared" ref="CW58:DG58" si="1311">CW54</f>
        <v>815991.88621800067</v>
      </c>
      <c r="CX58" s="30">
        <f t="shared" si="1311"/>
        <v>815991.88621800067</v>
      </c>
      <c r="CY58" s="30">
        <f t="shared" si="1311"/>
        <v>815991.88621800067</v>
      </c>
      <c r="CZ58" s="30">
        <f t="shared" si="1311"/>
        <v>815991.88621800067</v>
      </c>
      <c r="DA58" s="30">
        <f t="shared" si="1311"/>
        <v>815991.88621800067</v>
      </c>
      <c r="DB58" s="30">
        <f t="shared" si="1311"/>
        <v>815991.88621800067</v>
      </c>
      <c r="DC58" s="30">
        <f t="shared" si="1311"/>
        <v>815991.88621800067</v>
      </c>
      <c r="DD58" s="30">
        <f t="shared" si="1311"/>
        <v>815991.88621800067</v>
      </c>
      <c r="DE58" s="30">
        <f t="shared" si="1311"/>
        <v>815991.88621800067</v>
      </c>
      <c r="DF58" s="30">
        <f t="shared" si="1311"/>
        <v>815991.88621800067</v>
      </c>
      <c r="DG58" s="30">
        <f t="shared" si="1311"/>
        <v>815991.88621800067</v>
      </c>
      <c r="DH58" s="30">
        <f>SUM(CV58:DG58)</f>
        <v>9791902.6346160062</v>
      </c>
      <c r="DI58" s="38"/>
      <c r="DJ58" s="30">
        <f>DJ54</f>
        <v>897395.310768269</v>
      </c>
      <c r="DK58" s="30">
        <f t="shared" ref="DK58:DU58" si="1312">DK54</f>
        <v>897395.310768269</v>
      </c>
      <c r="DL58" s="30">
        <f t="shared" si="1312"/>
        <v>897395.310768269</v>
      </c>
      <c r="DM58" s="30">
        <f t="shared" si="1312"/>
        <v>897395.310768269</v>
      </c>
      <c r="DN58" s="30">
        <f t="shared" si="1312"/>
        <v>897395.310768269</v>
      </c>
      <c r="DO58" s="30">
        <f t="shared" si="1312"/>
        <v>897395.310768269</v>
      </c>
      <c r="DP58" s="30">
        <f t="shared" si="1312"/>
        <v>897395.310768269</v>
      </c>
      <c r="DQ58" s="30">
        <f t="shared" si="1312"/>
        <v>897395.310768269</v>
      </c>
      <c r="DR58" s="30">
        <f t="shared" si="1312"/>
        <v>897395.310768269</v>
      </c>
      <c r="DS58" s="30">
        <f t="shared" si="1312"/>
        <v>897395.310768269</v>
      </c>
      <c r="DT58" s="30">
        <f t="shared" si="1312"/>
        <v>897395.310768269</v>
      </c>
      <c r="DU58" s="30">
        <f t="shared" si="1312"/>
        <v>897395.310768269</v>
      </c>
      <c r="DV58" s="30">
        <f>SUM(DJ58:DU58)</f>
        <v>10768743.729219228</v>
      </c>
      <c r="DW58" s="38"/>
      <c r="DX58" s="30">
        <f>DX54</f>
        <v>987349.10277717549</v>
      </c>
      <c r="DY58" s="30">
        <f t="shared" ref="DY58:EI58" si="1313">DY54</f>
        <v>987349.10277717549</v>
      </c>
      <c r="DZ58" s="30">
        <f t="shared" si="1313"/>
        <v>987349.10277717549</v>
      </c>
      <c r="EA58" s="30">
        <f t="shared" si="1313"/>
        <v>987349.10277717549</v>
      </c>
      <c r="EB58" s="30">
        <f t="shared" si="1313"/>
        <v>987349.10277717549</v>
      </c>
      <c r="EC58" s="30">
        <f t="shared" si="1313"/>
        <v>987349.10277717549</v>
      </c>
      <c r="ED58" s="30">
        <f t="shared" si="1313"/>
        <v>987349.10277717549</v>
      </c>
      <c r="EE58" s="30">
        <f t="shared" si="1313"/>
        <v>987349.10277717549</v>
      </c>
      <c r="EF58" s="30">
        <f t="shared" si="1313"/>
        <v>987349.10277717549</v>
      </c>
      <c r="EG58" s="30">
        <f t="shared" si="1313"/>
        <v>987349.10277717549</v>
      </c>
      <c r="EH58" s="30">
        <f t="shared" si="1313"/>
        <v>987349.10277717549</v>
      </c>
      <c r="EI58" s="30">
        <f t="shared" si="1313"/>
        <v>987349.10277717549</v>
      </c>
      <c r="EJ58" s="30">
        <f>SUM(DX58:EI58)</f>
        <v>11848189.233326105</v>
      </c>
    </row>
    <row r="59" spans="1:140">
      <c r="A59" s="22" t="s">
        <v>252</v>
      </c>
      <c r="B59" s="30">
        <f>B57-B58</f>
        <v>165510</v>
      </c>
      <c r="C59" s="30">
        <f t="shared" ref="C59:M59" si="1314">C57-C58</f>
        <v>165510</v>
      </c>
      <c r="D59" s="30">
        <f t="shared" si="1314"/>
        <v>165510</v>
      </c>
      <c r="E59" s="30">
        <f t="shared" si="1314"/>
        <v>165510</v>
      </c>
      <c r="F59" s="30">
        <f t="shared" si="1314"/>
        <v>165510</v>
      </c>
      <c r="G59" s="30">
        <f t="shared" si="1314"/>
        <v>165510</v>
      </c>
      <c r="H59" s="30">
        <f t="shared" si="1314"/>
        <v>165510</v>
      </c>
      <c r="I59" s="30">
        <f t="shared" si="1314"/>
        <v>165510</v>
      </c>
      <c r="J59" s="30">
        <f t="shared" si="1314"/>
        <v>165510</v>
      </c>
      <c r="K59" s="30">
        <f t="shared" si="1314"/>
        <v>165510</v>
      </c>
      <c r="L59" s="30">
        <f t="shared" si="1314"/>
        <v>165510</v>
      </c>
      <c r="M59" s="30">
        <f t="shared" si="1314"/>
        <v>165510</v>
      </c>
      <c r="N59" s="30">
        <f>SUM(B59:M59)</f>
        <v>1986120</v>
      </c>
      <c r="O59" s="38"/>
      <c r="P59" s="30">
        <f>P57-P58</f>
        <v>186719.60100000008</v>
      </c>
      <c r="Q59" s="30">
        <f t="shared" ref="Q59:AA59" si="1315">Q57-Q58</f>
        <v>186719.60100000008</v>
      </c>
      <c r="R59" s="30">
        <f t="shared" si="1315"/>
        <v>186719.60100000008</v>
      </c>
      <c r="S59" s="30">
        <f t="shared" si="1315"/>
        <v>186719.60100000008</v>
      </c>
      <c r="T59" s="30">
        <f t="shared" si="1315"/>
        <v>186719.60100000008</v>
      </c>
      <c r="U59" s="30">
        <f t="shared" si="1315"/>
        <v>186719.60100000008</v>
      </c>
      <c r="V59" s="30">
        <f t="shared" si="1315"/>
        <v>186719.60100000008</v>
      </c>
      <c r="W59" s="30">
        <f t="shared" si="1315"/>
        <v>186719.60100000008</v>
      </c>
      <c r="X59" s="30">
        <f t="shared" si="1315"/>
        <v>186719.60100000008</v>
      </c>
      <c r="Y59" s="30">
        <f t="shared" si="1315"/>
        <v>186719.60100000008</v>
      </c>
      <c r="Z59" s="30">
        <f t="shared" si="1315"/>
        <v>186719.60100000008</v>
      </c>
      <c r="AA59" s="30">
        <f t="shared" si="1315"/>
        <v>186719.60100000008</v>
      </c>
      <c r="AB59" s="30">
        <f>SUM(P59:AA59)</f>
        <v>2240635.2120000008</v>
      </c>
      <c r="AC59" s="38"/>
      <c r="AD59" s="30">
        <f>AD57-AD58</f>
        <v>215435.06891300005</v>
      </c>
      <c r="AE59" s="30">
        <f t="shared" ref="AE59:AO59" si="1316">AE57-AE58</f>
        <v>215435.06891300005</v>
      </c>
      <c r="AF59" s="30">
        <f t="shared" si="1316"/>
        <v>215435.06891300005</v>
      </c>
      <c r="AG59" s="30">
        <f t="shared" si="1316"/>
        <v>215435.06891300005</v>
      </c>
      <c r="AH59" s="30">
        <f t="shared" si="1316"/>
        <v>215435.06891300005</v>
      </c>
      <c r="AI59" s="30">
        <f t="shared" si="1316"/>
        <v>215435.06891300005</v>
      </c>
      <c r="AJ59" s="30">
        <f t="shared" si="1316"/>
        <v>215435.06891300005</v>
      </c>
      <c r="AK59" s="30">
        <f t="shared" si="1316"/>
        <v>215435.06891300005</v>
      </c>
      <c r="AL59" s="30">
        <f t="shared" si="1316"/>
        <v>215435.06891300005</v>
      </c>
      <c r="AM59" s="30">
        <f t="shared" si="1316"/>
        <v>215435.06891300005</v>
      </c>
      <c r="AN59" s="30">
        <f t="shared" si="1316"/>
        <v>215435.06891300005</v>
      </c>
      <c r="AO59" s="30">
        <f t="shared" si="1316"/>
        <v>215435.06891300005</v>
      </c>
      <c r="AP59" s="30">
        <f>SUM(AD59:AO59)</f>
        <v>2585220.8269560016</v>
      </c>
      <c r="AQ59" s="38"/>
      <c r="AR59" s="30">
        <f>AR57-AR58</f>
        <v>247852.35388016899</v>
      </c>
      <c r="AS59" s="30">
        <f t="shared" ref="AS59:BC59" si="1317">AS57-AS58</f>
        <v>247852.35388016899</v>
      </c>
      <c r="AT59" s="30">
        <f t="shared" si="1317"/>
        <v>247852.35388016899</v>
      </c>
      <c r="AU59" s="30">
        <f t="shared" si="1317"/>
        <v>247852.35388016899</v>
      </c>
      <c r="AV59" s="30">
        <f t="shared" si="1317"/>
        <v>247852.35388016899</v>
      </c>
      <c r="AW59" s="30">
        <f t="shared" si="1317"/>
        <v>247852.35388016899</v>
      </c>
      <c r="AX59" s="30">
        <f t="shared" si="1317"/>
        <v>247852.35388016899</v>
      </c>
      <c r="AY59" s="30">
        <f t="shared" si="1317"/>
        <v>247852.35388016899</v>
      </c>
      <c r="AZ59" s="30">
        <f t="shared" si="1317"/>
        <v>247852.35388016899</v>
      </c>
      <c r="BA59" s="30">
        <f t="shared" si="1317"/>
        <v>247852.35388016899</v>
      </c>
      <c r="BB59" s="30">
        <f t="shared" si="1317"/>
        <v>247852.35388016899</v>
      </c>
      <c r="BC59" s="30">
        <f t="shared" si="1317"/>
        <v>247852.35388016899</v>
      </c>
      <c r="BD59" s="30">
        <f>SUM(AR59:BC59)</f>
        <v>2974228.2465620269</v>
      </c>
      <c r="BE59" s="38"/>
      <c r="BF59" s="30">
        <f>BF57-BF58</f>
        <v>284417.17937942839</v>
      </c>
      <c r="BG59" s="30">
        <f t="shared" ref="BG59:BQ59" si="1318">BG57-BG58</f>
        <v>284417.17937942839</v>
      </c>
      <c r="BH59" s="30">
        <f t="shared" si="1318"/>
        <v>284417.17937942839</v>
      </c>
      <c r="BI59" s="30">
        <f t="shared" si="1318"/>
        <v>284417.17937942839</v>
      </c>
      <c r="BJ59" s="30">
        <f t="shared" si="1318"/>
        <v>284417.17937942839</v>
      </c>
      <c r="BK59" s="30">
        <f t="shared" si="1318"/>
        <v>284417.17937942839</v>
      </c>
      <c r="BL59" s="30">
        <f t="shared" si="1318"/>
        <v>284417.17937942839</v>
      </c>
      <c r="BM59" s="30">
        <f t="shared" si="1318"/>
        <v>284417.17937942839</v>
      </c>
      <c r="BN59" s="30">
        <f t="shared" si="1318"/>
        <v>284417.17937942839</v>
      </c>
      <c r="BO59" s="30">
        <f t="shared" si="1318"/>
        <v>284417.17937942839</v>
      </c>
      <c r="BP59" s="30">
        <f t="shared" si="1318"/>
        <v>284417.17937942839</v>
      </c>
      <c r="BQ59" s="30">
        <f t="shared" si="1318"/>
        <v>284417.17937942839</v>
      </c>
      <c r="BR59" s="30">
        <f>SUM(BF59:BQ59)</f>
        <v>3413006.1525531397</v>
      </c>
      <c r="BS59" s="38"/>
      <c r="BT59" s="30">
        <f>BT57-BT58</f>
        <v>325627.28073075158</v>
      </c>
      <c r="BU59" s="30">
        <f t="shared" ref="BU59:CE59" si="1319">BU57-BU58</f>
        <v>325627.28073075158</v>
      </c>
      <c r="BV59" s="30">
        <f t="shared" si="1319"/>
        <v>325627.28073075158</v>
      </c>
      <c r="BW59" s="30">
        <f t="shared" si="1319"/>
        <v>325627.28073075158</v>
      </c>
      <c r="BX59" s="30">
        <f t="shared" si="1319"/>
        <v>325627.28073075158</v>
      </c>
      <c r="BY59" s="30">
        <f t="shared" si="1319"/>
        <v>325627.28073075158</v>
      </c>
      <c r="BZ59" s="30">
        <f t="shared" si="1319"/>
        <v>325627.28073075158</v>
      </c>
      <c r="CA59" s="30">
        <f t="shared" si="1319"/>
        <v>325627.28073075158</v>
      </c>
      <c r="CB59" s="30">
        <f t="shared" si="1319"/>
        <v>325627.28073075158</v>
      </c>
      <c r="CC59" s="30">
        <f t="shared" si="1319"/>
        <v>325627.28073075158</v>
      </c>
      <c r="CD59" s="30">
        <f t="shared" si="1319"/>
        <v>325627.28073075158</v>
      </c>
      <c r="CE59" s="30">
        <f t="shared" si="1319"/>
        <v>325627.28073075158</v>
      </c>
      <c r="CF59" s="30">
        <f>SUM(BT59:CE59)</f>
        <v>3907527.368769018</v>
      </c>
      <c r="CG59" s="38"/>
      <c r="CH59" s="30">
        <f>CH57-CH58</f>
        <v>372038.38113966142</v>
      </c>
      <c r="CI59" s="30">
        <f t="shared" ref="CI59:CS59" si="1320">CI57-CI58</f>
        <v>372038.38113966142</v>
      </c>
      <c r="CJ59" s="30">
        <f t="shared" si="1320"/>
        <v>372038.38113966142</v>
      </c>
      <c r="CK59" s="30">
        <f t="shared" si="1320"/>
        <v>372038.38113966142</v>
      </c>
      <c r="CL59" s="30">
        <f t="shared" si="1320"/>
        <v>372038.38113966142</v>
      </c>
      <c r="CM59" s="30">
        <f t="shared" si="1320"/>
        <v>372038.38113966142</v>
      </c>
      <c r="CN59" s="30">
        <f t="shared" si="1320"/>
        <v>372038.38113966142</v>
      </c>
      <c r="CO59" s="30">
        <f t="shared" si="1320"/>
        <v>372038.38113966142</v>
      </c>
      <c r="CP59" s="30">
        <f t="shared" si="1320"/>
        <v>372038.38113966142</v>
      </c>
      <c r="CQ59" s="30">
        <f t="shared" si="1320"/>
        <v>372038.38113966142</v>
      </c>
      <c r="CR59" s="30">
        <f t="shared" si="1320"/>
        <v>372038.38113966142</v>
      </c>
      <c r="CS59" s="30">
        <f t="shared" si="1320"/>
        <v>372038.38113966142</v>
      </c>
      <c r="CT59" s="30">
        <f>SUM(CH59:CS59)</f>
        <v>4464460.5736759361</v>
      </c>
      <c r="CU59" s="38"/>
      <c r="CV59" s="30">
        <f>CV57-CV58</f>
        <v>424270.84895595792</v>
      </c>
      <c r="CW59" s="30">
        <f t="shared" ref="CW59:DG59" si="1321">CW57-CW58</f>
        <v>424270.84895595792</v>
      </c>
      <c r="CX59" s="30">
        <f t="shared" si="1321"/>
        <v>424270.84895595792</v>
      </c>
      <c r="CY59" s="30">
        <f t="shared" si="1321"/>
        <v>424270.84895595792</v>
      </c>
      <c r="CZ59" s="30">
        <f t="shared" si="1321"/>
        <v>424270.84895595792</v>
      </c>
      <c r="DA59" s="30">
        <f t="shared" si="1321"/>
        <v>424270.84895595792</v>
      </c>
      <c r="DB59" s="30">
        <f t="shared" si="1321"/>
        <v>424270.84895595792</v>
      </c>
      <c r="DC59" s="30">
        <f t="shared" si="1321"/>
        <v>424270.84895595792</v>
      </c>
      <c r="DD59" s="30">
        <f t="shared" si="1321"/>
        <v>424270.84895595792</v>
      </c>
      <c r="DE59" s="30">
        <f t="shared" si="1321"/>
        <v>424270.84895595792</v>
      </c>
      <c r="DF59" s="30">
        <f t="shared" si="1321"/>
        <v>424270.84895595792</v>
      </c>
      <c r="DG59" s="30">
        <f t="shared" si="1321"/>
        <v>424270.84895595792</v>
      </c>
      <c r="DH59" s="30">
        <f>SUM(CV59:DG59)</f>
        <v>5091250.1874714969</v>
      </c>
      <c r="DI59" s="38"/>
      <c r="DJ59" s="30">
        <f>DJ57-DJ58</f>
        <v>483017.11348034698</v>
      </c>
      <c r="DK59" s="30">
        <f t="shared" ref="DK59:DU59" si="1322">DK57-DK58</f>
        <v>483017.11348034698</v>
      </c>
      <c r="DL59" s="30">
        <f t="shared" si="1322"/>
        <v>483017.11348034698</v>
      </c>
      <c r="DM59" s="30">
        <f t="shared" si="1322"/>
        <v>483017.11348034698</v>
      </c>
      <c r="DN59" s="30">
        <f t="shared" si="1322"/>
        <v>483017.11348034698</v>
      </c>
      <c r="DO59" s="30">
        <f t="shared" si="1322"/>
        <v>483017.11348034698</v>
      </c>
      <c r="DP59" s="30">
        <f t="shared" si="1322"/>
        <v>483017.11348034698</v>
      </c>
      <c r="DQ59" s="30">
        <f t="shared" si="1322"/>
        <v>483017.11348034698</v>
      </c>
      <c r="DR59" s="30">
        <f t="shared" si="1322"/>
        <v>483017.11348034698</v>
      </c>
      <c r="DS59" s="30">
        <f t="shared" si="1322"/>
        <v>483017.11348034698</v>
      </c>
      <c r="DT59" s="30">
        <f t="shared" si="1322"/>
        <v>483017.11348034698</v>
      </c>
      <c r="DU59" s="30">
        <f t="shared" si="1322"/>
        <v>483017.11348034698</v>
      </c>
      <c r="DV59" s="30">
        <f>SUM(DJ59:DU59)</f>
        <v>5796205.3617641656</v>
      </c>
      <c r="DW59" s="38"/>
      <c r="DX59" s="30">
        <f>DX57-DX58</f>
        <v>549049.92541153391</v>
      </c>
      <c r="DY59" s="30">
        <f t="shared" ref="DY59:EI59" si="1323">DY57-DY58</f>
        <v>549049.92541153391</v>
      </c>
      <c r="DZ59" s="30">
        <f t="shared" si="1323"/>
        <v>549049.92541153391</v>
      </c>
      <c r="EA59" s="30">
        <f t="shared" si="1323"/>
        <v>549049.92541153391</v>
      </c>
      <c r="EB59" s="30">
        <f t="shared" si="1323"/>
        <v>549049.92541153391</v>
      </c>
      <c r="EC59" s="30">
        <f t="shared" si="1323"/>
        <v>549049.92541153391</v>
      </c>
      <c r="ED59" s="30">
        <f t="shared" si="1323"/>
        <v>549049.92541153391</v>
      </c>
      <c r="EE59" s="30">
        <f t="shared" si="1323"/>
        <v>549049.92541153391</v>
      </c>
      <c r="EF59" s="30">
        <f t="shared" si="1323"/>
        <v>549049.92541153391</v>
      </c>
      <c r="EG59" s="30">
        <f t="shared" si="1323"/>
        <v>549049.92541153391</v>
      </c>
      <c r="EH59" s="30">
        <f t="shared" si="1323"/>
        <v>549049.92541153391</v>
      </c>
      <c r="EI59" s="30">
        <f t="shared" si="1323"/>
        <v>549049.92541153391</v>
      </c>
      <c r="EJ59" s="30">
        <f>SUM(DX59:EI59)</f>
        <v>6588599.1049384056</v>
      </c>
    </row>
    <row r="60" spans="1:140">
      <c r="A60" s="22" t="s">
        <v>253</v>
      </c>
      <c r="B60" s="30">
        <f>B59</f>
        <v>165510</v>
      </c>
      <c r="C60" s="30">
        <f>B60+C59</f>
        <v>331020</v>
      </c>
      <c r="D60" s="30">
        <f>C60+D59</f>
        <v>496530</v>
      </c>
      <c r="E60" s="30">
        <f t="shared" ref="E60:M60" si="1324">D60+E59</f>
        <v>662040</v>
      </c>
      <c r="F60" s="30">
        <f t="shared" si="1324"/>
        <v>827550</v>
      </c>
      <c r="G60" s="30">
        <f t="shared" si="1324"/>
        <v>993060</v>
      </c>
      <c r="H60" s="30">
        <f t="shared" si="1324"/>
        <v>1158570</v>
      </c>
      <c r="I60" s="30">
        <f t="shared" si="1324"/>
        <v>1324080</v>
      </c>
      <c r="J60" s="30">
        <f t="shared" si="1324"/>
        <v>1489590</v>
      </c>
      <c r="K60" s="30">
        <f t="shared" si="1324"/>
        <v>1655100</v>
      </c>
      <c r="L60" s="30">
        <f t="shared" si="1324"/>
        <v>1820610</v>
      </c>
      <c r="M60" s="30">
        <f t="shared" si="1324"/>
        <v>1986120</v>
      </c>
      <c r="N60" s="30">
        <f>M60</f>
        <v>1986120</v>
      </c>
      <c r="O60" s="38"/>
      <c r="P60" s="30">
        <f>P59+N60</f>
        <v>2172839.6010000003</v>
      </c>
      <c r="Q60" s="30">
        <f>P60+Q59</f>
        <v>2359559.2020000005</v>
      </c>
      <c r="R60" s="30">
        <f>Q60+R59</f>
        <v>2546278.8030000008</v>
      </c>
      <c r="S60" s="30">
        <f t="shared" ref="S60" si="1325">R60+S59</f>
        <v>2732998.404000001</v>
      </c>
      <c r="T60" s="30">
        <f t="shared" ref="T60" si="1326">S60+T59</f>
        <v>2919718.0050000013</v>
      </c>
      <c r="U60" s="30">
        <f t="shared" ref="U60" si="1327">T60+U59</f>
        <v>3106437.6060000015</v>
      </c>
      <c r="V60" s="30">
        <f t="shared" ref="V60" si="1328">U60+V59</f>
        <v>3293157.2070000018</v>
      </c>
      <c r="W60" s="30">
        <f t="shared" ref="W60" si="1329">V60+W59</f>
        <v>3479876.8080000021</v>
      </c>
      <c r="X60" s="30">
        <f t="shared" ref="X60" si="1330">W60+X59</f>
        <v>3666596.4090000023</v>
      </c>
      <c r="Y60" s="30">
        <f t="shared" ref="Y60" si="1331">X60+Y59</f>
        <v>3853316.0100000026</v>
      </c>
      <c r="Z60" s="30">
        <f t="shared" ref="Z60" si="1332">Y60+Z59</f>
        <v>4040035.6110000028</v>
      </c>
      <c r="AA60" s="30">
        <f t="shared" ref="AA60" si="1333">Z60+AA59</f>
        <v>4226755.2120000031</v>
      </c>
      <c r="AB60" s="30">
        <f>AA60</f>
        <v>4226755.2120000031</v>
      </c>
      <c r="AC60" s="38"/>
      <c r="AD60" s="30">
        <f>AD59+AB60</f>
        <v>4442190.2809130028</v>
      </c>
      <c r="AE60" s="30">
        <f>AD60+AE59</f>
        <v>4657625.3498260025</v>
      </c>
      <c r="AF60" s="30">
        <f>AE60+AF59</f>
        <v>4873060.4187390022</v>
      </c>
      <c r="AG60" s="30">
        <f t="shared" ref="AG60" si="1334">AF60+AG59</f>
        <v>5088495.4876520019</v>
      </c>
      <c r="AH60" s="30">
        <f t="shared" ref="AH60" si="1335">AG60+AH59</f>
        <v>5303930.5565650016</v>
      </c>
      <c r="AI60" s="30">
        <f t="shared" ref="AI60" si="1336">AH60+AI59</f>
        <v>5519365.6254780013</v>
      </c>
      <c r="AJ60" s="30">
        <f t="shared" ref="AJ60" si="1337">AI60+AJ59</f>
        <v>5734800.694391001</v>
      </c>
      <c r="AK60" s="30">
        <f t="shared" ref="AK60" si="1338">AJ60+AK59</f>
        <v>5950235.7633040007</v>
      </c>
      <c r="AL60" s="30">
        <f t="shared" ref="AL60" si="1339">AK60+AL59</f>
        <v>6165670.8322170004</v>
      </c>
      <c r="AM60" s="30">
        <f t="shared" ref="AM60" si="1340">AL60+AM59</f>
        <v>6381105.9011300001</v>
      </c>
      <c r="AN60" s="30">
        <f t="shared" ref="AN60" si="1341">AM60+AN59</f>
        <v>6596540.9700429998</v>
      </c>
      <c r="AO60" s="30">
        <f t="shared" ref="AO60" si="1342">AN60+AO59</f>
        <v>6811976.0389559995</v>
      </c>
      <c r="AP60" s="30">
        <f>AO60</f>
        <v>6811976.0389559995</v>
      </c>
      <c r="AQ60" s="38"/>
      <c r="AR60" s="30">
        <f>AR59+AP60</f>
        <v>7059828.3928361684</v>
      </c>
      <c r="AS60" s="30">
        <f>AR60+AS59</f>
        <v>7307680.7467163373</v>
      </c>
      <c r="AT60" s="30">
        <f>AS60+AT59</f>
        <v>7555533.1005965061</v>
      </c>
      <c r="AU60" s="30">
        <f t="shared" ref="AU60" si="1343">AT60+AU59</f>
        <v>7803385.454476675</v>
      </c>
      <c r="AV60" s="30">
        <f t="shared" ref="AV60" si="1344">AU60+AV59</f>
        <v>8051237.8083568439</v>
      </c>
      <c r="AW60" s="30">
        <f t="shared" ref="AW60" si="1345">AV60+AW59</f>
        <v>8299090.1622370128</v>
      </c>
      <c r="AX60" s="30">
        <f t="shared" ref="AX60" si="1346">AW60+AX59</f>
        <v>8546942.5161171816</v>
      </c>
      <c r="AY60" s="30">
        <f t="shared" ref="AY60" si="1347">AX60+AY59</f>
        <v>8794794.8699973505</v>
      </c>
      <c r="AZ60" s="30">
        <f t="shared" ref="AZ60" si="1348">AY60+AZ59</f>
        <v>9042647.2238775194</v>
      </c>
      <c r="BA60" s="30">
        <f t="shared" ref="BA60" si="1349">AZ60+BA59</f>
        <v>9290499.5777576882</v>
      </c>
      <c r="BB60" s="30">
        <f t="shared" ref="BB60" si="1350">BA60+BB59</f>
        <v>9538351.9316378571</v>
      </c>
      <c r="BC60" s="30">
        <f t="shared" ref="BC60" si="1351">BB60+BC59</f>
        <v>9786204.285518026</v>
      </c>
      <c r="BD60" s="30">
        <f>BC60</f>
        <v>9786204.285518026</v>
      </c>
      <c r="BE60" s="38"/>
      <c r="BF60" s="30">
        <f>BF59+BD60</f>
        <v>10070621.464897454</v>
      </c>
      <c r="BG60" s="30">
        <f>BF60+BG59</f>
        <v>10355038.644276882</v>
      </c>
      <c r="BH60" s="30">
        <f>BG60+BH59</f>
        <v>10639455.823656309</v>
      </c>
      <c r="BI60" s="30">
        <f t="shared" ref="BI60" si="1352">BH60+BI59</f>
        <v>10923873.003035737</v>
      </c>
      <c r="BJ60" s="30">
        <f t="shared" ref="BJ60" si="1353">BI60+BJ59</f>
        <v>11208290.182415165</v>
      </c>
      <c r="BK60" s="30">
        <f t="shared" ref="BK60" si="1354">BJ60+BK59</f>
        <v>11492707.361794593</v>
      </c>
      <c r="BL60" s="30">
        <f t="shared" ref="BL60" si="1355">BK60+BL59</f>
        <v>11777124.541174021</v>
      </c>
      <c r="BM60" s="30">
        <f t="shared" ref="BM60" si="1356">BL60+BM59</f>
        <v>12061541.720553448</v>
      </c>
      <c r="BN60" s="30">
        <f t="shared" ref="BN60" si="1357">BM60+BN59</f>
        <v>12345958.899932876</v>
      </c>
      <c r="BO60" s="30">
        <f t="shared" ref="BO60" si="1358">BN60+BO59</f>
        <v>12630376.079312304</v>
      </c>
      <c r="BP60" s="30">
        <f t="shared" ref="BP60" si="1359">BO60+BP59</f>
        <v>12914793.258691732</v>
      </c>
      <c r="BQ60" s="30">
        <f t="shared" ref="BQ60" si="1360">BP60+BQ59</f>
        <v>13199210.43807116</v>
      </c>
      <c r="BR60" s="30">
        <f>BQ60</f>
        <v>13199210.43807116</v>
      </c>
      <c r="BS60" s="38"/>
      <c r="BT60" s="30">
        <f>BT59+BR60</f>
        <v>13524837.718801912</v>
      </c>
      <c r="BU60" s="30">
        <f>BT60+BU59</f>
        <v>13850464.999532664</v>
      </c>
      <c r="BV60" s="30">
        <f>BU60+BV59</f>
        <v>14176092.280263416</v>
      </c>
      <c r="BW60" s="30">
        <f t="shared" ref="BW60" si="1361">BV60+BW59</f>
        <v>14501719.560994169</v>
      </c>
      <c r="BX60" s="30">
        <f t="shared" ref="BX60" si="1362">BW60+BX59</f>
        <v>14827346.841724921</v>
      </c>
      <c r="BY60" s="30">
        <f t="shared" ref="BY60" si="1363">BX60+BY59</f>
        <v>15152974.122455673</v>
      </c>
      <c r="BZ60" s="30">
        <f t="shared" ref="BZ60" si="1364">BY60+BZ59</f>
        <v>15478601.403186426</v>
      </c>
      <c r="CA60" s="30">
        <f t="shared" ref="CA60" si="1365">BZ60+CA59</f>
        <v>15804228.683917178</v>
      </c>
      <c r="CB60" s="30">
        <f t="shared" ref="CB60" si="1366">CA60+CB59</f>
        <v>16129855.96464793</v>
      </c>
      <c r="CC60" s="30">
        <f t="shared" ref="CC60" si="1367">CB60+CC59</f>
        <v>16455483.245378682</v>
      </c>
      <c r="CD60" s="30">
        <f t="shared" ref="CD60" si="1368">CC60+CD59</f>
        <v>16781110.526109435</v>
      </c>
      <c r="CE60" s="30">
        <f t="shared" ref="CE60" si="1369">CD60+CE59</f>
        <v>17106737.806840185</v>
      </c>
      <c r="CF60" s="30">
        <f>CE60</f>
        <v>17106737.806840185</v>
      </c>
      <c r="CG60" s="38"/>
      <c r="CH60" s="30">
        <f>CH59+CF60</f>
        <v>17478776.187979847</v>
      </c>
      <c r="CI60" s="30">
        <f>CH60+CI59</f>
        <v>17850814.569119509</v>
      </c>
      <c r="CJ60" s="30">
        <f>CI60+CJ59</f>
        <v>18222852.950259171</v>
      </c>
      <c r="CK60" s="30">
        <f t="shared" ref="CK60" si="1370">CJ60+CK59</f>
        <v>18594891.331398834</v>
      </c>
      <c r="CL60" s="30">
        <f t="shared" ref="CL60" si="1371">CK60+CL59</f>
        <v>18966929.712538496</v>
      </c>
      <c r="CM60" s="30">
        <f t="shared" ref="CM60" si="1372">CL60+CM59</f>
        <v>19338968.093678158</v>
      </c>
      <c r="CN60" s="30">
        <f t="shared" ref="CN60" si="1373">CM60+CN59</f>
        <v>19711006.47481782</v>
      </c>
      <c r="CO60" s="30">
        <f t="shared" ref="CO60" si="1374">CN60+CO59</f>
        <v>20083044.855957482</v>
      </c>
      <c r="CP60" s="30">
        <f t="shared" ref="CP60" si="1375">CO60+CP59</f>
        <v>20455083.237097144</v>
      </c>
      <c r="CQ60" s="30">
        <f t="shared" ref="CQ60" si="1376">CP60+CQ59</f>
        <v>20827121.618236806</v>
      </c>
      <c r="CR60" s="30">
        <f t="shared" ref="CR60" si="1377">CQ60+CR59</f>
        <v>21199159.999376468</v>
      </c>
      <c r="CS60" s="30">
        <f t="shared" ref="CS60" si="1378">CR60+CS59</f>
        <v>21571198.38051613</v>
      </c>
      <c r="CT60" s="30">
        <f>CS60</f>
        <v>21571198.38051613</v>
      </c>
      <c r="CU60" s="38"/>
      <c r="CV60" s="30">
        <f>CV59+CT60</f>
        <v>21995469.22947209</v>
      </c>
      <c r="CW60" s="30">
        <f>CV60+CW59</f>
        <v>22419740.078428049</v>
      </c>
      <c r="CX60" s="30">
        <f>CW60+CX59</f>
        <v>22844010.927384008</v>
      </c>
      <c r="CY60" s="30">
        <f t="shared" ref="CY60" si="1379">CX60+CY59</f>
        <v>23268281.776339967</v>
      </c>
      <c r="CZ60" s="30">
        <f t="shared" ref="CZ60" si="1380">CY60+CZ59</f>
        <v>23692552.625295926</v>
      </c>
      <c r="DA60" s="30">
        <f t="shared" ref="DA60" si="1381">CZ60+DA59</f>
        <v>24116823.474251885</v>
      </c>
      <c r="DB60" s="30">
        <f t="shared" ref="DB60" si="1382">DA60+DB59</f>
        <v>24541094.323207844</v>
      </c>
      <c r="DC60" s="30">
        <f t="shared" ref="DC60" si="1383">DB60+DC59</f>
        <v>24965365.172163803</v>
      </c>
      <c r="DD60" s="30">
        <f t="shared" ref="DD60" si="1384">DC60+DD59</f>
        <v>25389636.021119762</v>
      </c>
      <c r="DE60" s="30">
        <f t="shared" ref="DE60" si="1385">DD60+DE59</f>
        <v>25813906.870075721</v>
      </c>
      <c r="DF60" s="30">
        <f t="shared" ref="DF60" si="1386">DE60+DF59</f>
        <v>26238177.71903168</v>
      </c>
      <c r="DG60" s="30">
        <f t="shared" ref="DG60" si="1387">DF60+DG59</f>
        <v>26662448.567987639</v>
      </c>
      <c r="DH60" s="30">
        <f>DG60</f>
        <v>26662448.567987639</v>
      </c>
      <c r="DI60" s="38"/>
      <c r="DJ60" s="30">
        <f>DJ59+DH60</f>
        <v>27145465.681467988</v>
      </c>
      <c r="DK60" s="30">
        <f>DJ60+DK59</f>
        <v>27628482.794948336</v>
      </c>
      <c r="DL60" s="30">
        <f>DK60+DL59</f>
        <v>28111499.908428684</v>
      </c>
      <c r="DM60" s="30">
        <f t="shared" ref="DM60" si="1388">DL60+DM59</f>
        <v>28594517.021909032</v>
      </c>
      <c r="DN60" s="30">
        <f t="shared" ref="DN60" si="1389">DM60+DN59</f>
        <v>29077534.13538938</v>
      </c>
      <c r="DO60" s="30">
        <f t="shared" ref="DO60" si="1390">DN60+DO59</f>
        <v>29560551.248869728</v>
      </c>
      <c r="DP60" s="30">
        <f t="shared" ref="DP60" si="1391">DO60+DP59</f>
        <v>30043568.362350076</v>
      </c>
      <c r="DQ60" s="30">
        <f t="shared" ref="DQ60" si="1392">DP60+DQ59</f>
        <v>30526585.475830425</v>
      </c>
      <c r="DR60" s="30">
        <f t="shared" ref="DR60" si="1393">DQ60+DR59</f>
        <v>31009602.589310773</v>
      </c>
      <c r="DS60" s="30">
        <f t="shared" ref="DS60" si="1394">DR60+DS59</f>
        <v>31492619.702791121</v>
      </c>
      <c r="DT60" s="30">
        <f t="shared" ref="DT60" si="1395">DS60+DT59</f>
        <v>31975636.816271469</v>
      </c>
      <c r="DU60" s="30">
        <f t="shared" ref="DU60" si="1396">DT60+DU59</f>
        <v>32458653.929751817</v>
      </c>
      <c r="DV60" s="30">
        <f>DU60</f>
        <v>32458653.929751817</v>
      </c>
      <c r="DW60" s="38"/>
      <c r="DX60" s="30">
        <f>DX59+DV60</f>
        <v>33007703.855163351</v>
      </c>
      <c r="DY60" s="30">
        <f>DX60+DY59</f>
        <v>33556753.780574888</v>
      </c>
      <c r="DZ60" s="30">
        <f>DY60+DZ59</f>
        <v>34105803.705986425</v>
      </c>
      <c r="EA60" s="30">
        <f t="shared" ref="EA60" si="1397">DZ60+EA59</f>
        <v>34654853.631397963</v>
      </c>
      <c r="EB60" s="30">
        <f t="shared" ref="EB60" si="1398">EA60+EB59</f>
        <v>35203903.5568095</v>
      </c>
      <c r="EC60" s="30">
        <f t="shared" ref="EC60" si="1399">EB60+EC59</f>
        <v>35752953.482221037</v>
      </c>
      <c r="ED60" s="30">
        <f t="shared" ref="ED60" si="1400">EC60+ED59</f>
        <v>36302003.407632574</v>
      </c>
      <c r="EE60" s="30">
        <f t="shared" ref="EE60" si="1401">ED60+EE59</f>
        <v>36851053.333044112</v>
      </c>
      <c r="EF60" s="30">
        <f t="shared" ref="EF60" si="1402">EE60+EF59</f>
        <v>37400103.258455649</v>
      </c>
      <c r="EG60" s="30">
        <f t="shared" ref="EG60" si="1403">EF60+EG59</f>
        <v>37949153.183867186</v>
      </c>
      <c r="EH60" s="30">
        <f t="shared" ref="EH60" si="1404">EG60+EH59</f>
        <v>38498203.109278724</v>
      </c>
      <c r="EI60" s="30">
        <f t="shared" ref="EI60" si="1405">EH60+EI59</f>
        <v>39047253.034690261</v>
      </c>
      <c r="EJ60" s="30">
        <f>EI60</f>
        <v>39047253.034690261</v>
      </c>
    </row>
    <row r="61" spans="1:140">
      <c r="B61" s="51">
        <f t="shared" ref="B61:N61" si="1406">B59+B60</f>
        <v>331020</v>
      </c>
      <c r="C61" s="51">
        <f t="shared" si="1406"/>
        <v>496530</v>
      </c>
      <c r="D61" s="51">
        <f t="shared" si="1406"/>
        <v>662040</v>
      </c>
      <c r="E61" s="51">
        <f t="shared" si="1406"/>
        <v>827550</v>
      </c>
      <c r="F61" s="51">
        <f t="shared" si="1406"/>
        <v>993060</v>
      </c>
      <c r="G61" s="51">
        <f t="shared" si="1406"/>
        <v>1158570</v>
      </c>
      <c r="H61" s="51">
        <f t="shared" si="1406"/>
        <v>1324080</v>
      </c>
      <c r="I61" s="51">
        <f t="shared" si="1406"/>
        <v>1489590</v>
      </c>
      <c r="J61" s="51">
        <f t="shared" si="1406"/>
        <v>1655100</v>
      </c>
      <c r="K61" s="51">
        <f t="shared" si="1406"/>
        <v>1820610</v>
      </c>
      <c r="L61" s="51">
        <f t="shared" si="1406"/>
        <v>1986120</v>
      </c>
      <c r="M61" s="51">
        <f t="shared" si="1406"/>
        <v>2151630</v>
      </c>
      <c r="N61" s="51">
        <f t="shared" si="1406"/>
        <v>3972240</v>
      </c>
      <c r="P61" s="51">
        <f t="shared" ref="P61:AB61" si="1407">P59+P60</f>
        <v>2359559.2020000005</v>
      </c>
      <c r="Q61" s="51">
        <f t="shared" si="1407"/>
        <v>2546278.8030000008</v>
      </c>
      <c r="R61" s="51">
        <f t="shared" si="1407"/>
        <v>2732998.404000001</v>
      </c>
      <c r="S61" s="51">
        <f t="shared" si="1407"/>
        <v>2919718.0050000013</v>
      </c>
      <c r="T61" s="51">
        <f t="shared" si="1407"/>
        <v>3106437.6060000015</v>
      </c>
      <c r="U61" s="51">
        <f t="shared" si="1407"/>
        <v>3293157.2070000018</v>
      </c>
      <c r="V61" s="51">
        <f t="shared" si="1407"/>
        <v>3479876.8080000021</v>
      </c>
      <c r="W61" s="51">
        <f t="shared" si="1407"/>
        <v>3666596.4090000023</v>
      </c>
      <c r="X61" s="51">
        <f t="shared" si="1407"/>
        <v>3853316.0100000026</v>
      </c>
      <c r="Y61" s="51">
        <f t="shared" si="1407"/>
        <v>4040035.6110000028</v>
      </c>
      <c r="Z61" s="51">
        <f t="shared" si="1407"/>
        <v>4226755.2120000031</v>
      </c>
      <c r="AA61" s="51">
        <f t="shared" si="1407"/>
        <v>4413474.8130000029</v>
      </c>
      <c r="AB61" s="51">
        <f t="shared" si="1407"/>
        <v>6467390.4240000043</v>
      </c>
      <c r="AD61" s="51">
        <f t="shared" ref="AD61:AP61" si="1408">AD59+AD60</f>
        <v>4657625.3498260025</v>
      </c>
      <c r="AE61" s="51">
        <f t="shared" si="1408"/>
        <v>4873060.4187390022</v>
      </c>
      <c r="AF61" s="51">
        <f t="shared" si="1408"/>
        <v>5088495.4876520019</v>
      </c>
      <c r="AG61" s="51">
        <f t="shared" si="1408"/>
        <v>5303930.5565650016</v>
      </c>
      <c r="AH61" s="51">
        <f t="shared" si="1408"/>
        <v>5519365.6254780013</v>
      </c>
      <c r="AI61" s="51">
        <f t="shared" si="1408"/>
        <v>5734800.694391001</v>
      </c>
      <c r="AJ61" s="51">
        <f t="shared" si="1408"/>
        <v>5950235.7633040007</v>
      </c>
      <c r="AK61" s="51">
        <f t="shared" si="1408"/>
        <v>6165670.8322170004</v>
      </c>
      <c r="AL61" s="51">
        <f t="shared" si="1408"/>
        <v>6381105.9011300001</v>
      </c>
      <c r="AM61" s="51">
        <f t="shared" si="1408"/>
        <v>6596540.9700429998</v>
      </c>
      <c r="AN61" s="51">
        <f t="shared" si="1408"/>
        <v>6811976.0389559995</v>
      </c>
      <c r="AO61" s="51">
        <f t="shared" si="1408"/>
        <v>7027411.1078689992</v>
      </c>
      <c r="AP61" s="51">
        <f t="shared" si="1408"/>
        <v>9397196.8659120016</v>
      </c>
      <c r="AR61" s="51">
        <f t="shared" ref="AR61:BD61" si="1409">AR59+AR60</f>
        <v>7307680.7467163373</v>
      </c>
      <c r="AS61" s="51">
        <f t="shared" si="1409"/>
        <v>7555533.1005965061</v>
      </c>
      <c r="AT61" s="51">
        <f t="shared" si="1409"/>
        <v>7803385.454476675</v>
      </c>
      <c r="AU61" s="51">
        <f t="shared" si="1409"/>
        <v>8051237.8083568439</v>
      </c>
      <c r="AV61" s="51">
        <f t="shared" si="1409"/>
        <v>8299090.1622370128</v>
      </c>
      <c r="AW61" s="51">
        <f t="shared" si="1409"/>
        <v>8546942.5161171816</v>
      </c>
      <c r="AX61" s="51">
        <f t="shared" si="1409"/>
        <v>8794794.8699973505</v>
      </c>
      <c r="AY61" s="51">
        <f t="shared" si="1409"/>
        <v>9042647.2238775194</v>
      </c>
      <c r="AZ61" s="51">
        <f t="shared" si="1409"/>
        <v>9290499.5777576882</v>
      </c>
      <c r="BA61" s="51">
        <f t="shared" si="1409"/>
        <v>9538351.9316378571</v>
      </c>
      <c r="BB61" s="51">
        <f t="shared" si="1409"/>
        <v>9786204.285518026</v>
      </c>
      <c r="BC61" s="51">
        <f t="shared" si="1409"/>
        <v>10034056.639398195</v>
      </c>
      <c r="BD61" s="51">
        <f t="shared" si="1409"/>
        <v>12760432.532080052</v>
      </c>
      <c r="BF61" s="51">
        <f t="shared" ref="BF61:BR61" si="1410">BF59+BF60</f>
        <v>10355038.644276882</v>
      </c>
      <c r="BG61" s="51">
        <f t="shared" si="1410"/>
        <v>10639455.823656309</v>
      </c>
      <c r="BH61" s="51">
        <f t="shared" si="1410"/>
        <v>10923873.003035737</v>
      </c>
      <c r="BI61" s="51">
        <f t="shared" si="1410"/>
        <v>11208290.182415165</v>
      </c>
      <c r="BJ61" s="51">
        <f t="shared" si="1410"/>
        <v>11492707.361794593</v>
      </c>
      <c r="BK61" s="51">
        <f t="shared" si="1410"/>
        <v>11777124.541174021</v>
      </c>
      <c r="BL61" s="51">
        <f t="shared" si="1410"/>
        <v>12061541.720553448</v>
      </c>
      <c r="BM61" s="51">
        <f t="shared" si="1410"/>
        <v>12345958.899932876</v>
      </c>
      <c r="BN61" s="51">
        <f t="shared" si="1410"/>
        <v>12630376.079312304</v>
      </c>
      <c r="BO61" s="51">
        <f t="shared" si="1410"/>
        <v>12914793.258691732</v>
      </c>
      <c r="BP61" s="51">
        <f t="shared" si="1410"/>
        <v>13199210.43807116</v>
      </c>
      <c r="BQ61" s="51">
        <f t="shared" si="1410"/>
        <v>13483627.617450587</v>
      </c>
      <c r="BR61" s="51">
        <f t="shared" si="1410"/>
        <v>16612216.590624299</v>
      </c>
      <c r="BT61" s="51">
        <f t="shared" ref="BT61:CF61" si="1411">BT59+BT60</f>
        <v>13850464.999532664</v>
      </c>
      <c r="BU61" s="51">
        <f t="shared" si="1411"/>
        <v>14176092.280263416</v>
      </c>
      <c r="BV61" s="51">
        <f t="shared" si="1411"/>
        <v>14501719.560994169</v>
      </c>
      <c r="BW61" s="51">
        <f t="shared" si="1411"/>
        <v>14827346.841724921</v>
      </c>
      <c r="BX61" s="51">
        <f t="shared" si="1411"/>
        <v>15152974.122455673</v>
      </c>
      <c r="BY61" s="51">
        <f t="shared" si="1411"/>
        <v>15478601.403186426</v>
      </c>
      <c r="BZ61" s="51">
        <f t="shared" si="1411"/>
        <v>15804228.683917178</v>
      </c>
      <c r="CA61" s="51">
        <f t="shared" si="1411"/>
        <v>16129855.96464793</v>
      </c>
      <c r="CB61" s="51">
        <f t="shared" si="1411"/>
        <v>16455483.245378682</v>
      </c>
      <c r="CC61" s="51">
        <f t="shared" si="1411"/>
        <v>16781110.526109435</v>
      </c>
      <c r="CD61" s="51">
        <f t="shared" si="1411"/>
        <v>17106737.806840185</v>
      </c>
      <c r="CE61" s="51">
        <f t="shared" si="1411"/>
        <v>17432365.087570935</v>
      </c>
      <c r="CF61" s="51">
        <f t="shared" si="1411"/>
        <v>21014265.175609201</v>
      </c>
      <c r="CH61" s="51">
        <f t="shared" ref="CH61:CT61" si="1412">CH59+CH60</f>
        <v>17850814.569119509</v>
      </c>
      <c r="CI61" s="51">
        <f t="shared" si="1412"/>
        <v>18222852.950259171</v>
      </c>
      <c r="CJ61" s="51">
        <f t="shared" si="1412"/>
        <v>18594891.331398834</v>
      </c>
      <c r="CK61" s="51">
        <f t="shared" si="1412"/>
        <v>18966929.712538496</v>
      </c>
      <c r="CL61" s="51">
        <f t="shared" si="1412"/>
        <v>19338968.093678158</v>
      </c>
      <c r="CM61" s="51">
        <f t="shared" si="1412"/>
        <v>19711006.47481782</v>
      </c>
      <c r="CN61" s="51">
        <f t="shared" si="1412"/>
        <v>20083044.855957482</v>
      </c>
      <c r="CO61" s="51">
        <f t="shared" si="1412"/>
        <v>20455083.237097144</v>
      </c>
      <c r="CP61" s="51">
        <f t="shared" si="1412"/>
        <v>20827121.618236806</v>
      </c>
      <c r="CQ61" s="51">
        <f t="shared" si="1412"/>
        <v>21199159.999376468</v>
      </c>
      <c r="CR61" s="51">
        <f t="shared" si="1412"/>
        <v>21571198.38051613</v>
      </c>
      <c r="CS61" s="51">
        <f t="shared" si="1412"/>
        <v>21943236.761655793</v>
      </c>
      <c r="CT61" s="51">
        <f t="shared" si="1412"/>
        <v>26035658.954192065</v>
      </c>
      <c r="CV61" s="51">
        <f t="shared" ref="CV61:DH61" si="1413">CV59+CV60</f>
        <v>22419740.078428049</v>
      </c>
      <c r="CW61" s="51">
        <f t="shared" si="1413"/>
        <v>22844010.927384008</v>
      </c>
      <c r="CX61" s="51">
        <f t="shared" si="1413"/>
        <v>23268281.776339967</v>
      </c>
      <c r="CY61" s="51">
        <f t="shared" si="1413"/>
        <v>23692552.625295926</v>
      </c>
      <c r="CZ61" s="51">
        <f t="shared" si="1413"/>
        <v>24116823.474251885</v>
      </c>
      <c r="DA61" s="51">
        <f t="shared" si="1413"/>
        <v>24541094.323207844</v>
      </c>
      <c r="DB61" s="51">
        <f t="shared" si="1413"/>
        <v>24965365.172163803</v>
      </c>
      <c r="DC61" s="51">
        <f t="shared" si="1413"/>
        <v>25389636.021119762</v>
      </c>
      <c r="DD61" s="51">
        <f t="shared" si="1413"/>
        <v>25813906.870075721</v>
      </c>
      <c r="DE61" s="51">
        <f t="shared" si="1413"/>
        <v>26238177.71903168</v>
      </c>
      <c r="DF61" s="51">
        <f t="shared" si="1413"/>
        <v>26662448.567987639</v>
      </c>
      <c r="DG61" s="51">
        <f t="shared" si="1413"/>
        <v>27086719.416943599</v>
      </c>
      <c r="DH61" s="51">
        <f t="shared" si="1413"/>
        <v>31753698.755459137</v>
      </c>
      <c r="DJ61" s="51">
        <f t="shared" ref="DJ61:DV61" si="1414">DJ59+DJ60</f>
        <v>27628482.794948336</v>
      </c>
      <c r="DK61" s="51">
        <f t="shared" si="1414"/>
        <v>28111499.908428684</v>
      </c>
      <c r="DL61" s="51">
        <f t="shared" si="1414"/>
        <v>28594517.021909032</v>
      </c>
      <c r="DM61" s="51">
        <f t="shared" si="1414"/>
        <v>29077534.13538938</v>
      </c>
      <c r="DN61" s="51">
        <f t="shared" si="1414"/>
        <v>29560551.248869728</v>
      </c>
      <c r="DO61" s="51">
        <f t="shared" si="1414"/>
        <v>30043568.362350076</v>
      </c>
      <c r="DP61" s="51">
        <f t="shared" si="1414"/>
        <v>30526585.475830425</v>
      </c>
      <c r="DQ61" s="51">
        <f t="shared" si="1414"/>
        <v>31009602.589310773</v>
      </c>
      <c r="DR61" s="51">
        <f t="shared" si="1414"/>
        <v>31492619.702791121</v>
      </c>
      <c r="DS61" s="51">
        <f t="shared" si="1414"/>
        <v>31975636.816271469</v>
      </c>
      <c r="DT61" s="51">
        <f t="shared" si="1414"/>
        <v>32458653.929751817</v>
      </c>
      <c r="DU61" s="51">
        <f t="shared" si="1414"/>
        <v>32941671.043232165</v>
      </c>
      <c r="DV61" s="51">
        <f t="shared" si="1414"/>
        <v>38254859.291515984</v>
      </c>
      <c r="DX61" s="51">
        <f t="shared" ref="DX61:EJ61" si="1415">DX59+DX60</f>
        <v>33556753.780574888</v>
      </c>
      <c r="DY61" s="51">
        <f t="shared" si="1415"/>
        <v>34105803.705986425</v>
      </c>
      <c r="DZ61" s="51">
        <f t="shared" si="1415"/>
        <v>34654853.631397963</v>
      </c>
      <c r="EA61" s="51">
        <f t="shared" si="1415"/>
        <v>35203903.5568095</v>
      </c>
      <c r="EB61" s="51">
        <f t="shared" si="1415"/>
        <v>35752953.482221037</v>
      </c>
      <c r="EC61" s="51">
        <f t="shared" si="1415"/>
        <v>36302003.407632574</v>
      </c>
      <c r="ED61" s="51">
        <f t="shared" si="1415"/>
        <v>36851053.333044112</v>
      </c>
      <c r="EE61" s="51">
        <f t="shared" si="1415"/>
        <v>37400103.258455649</v>
      </c>
      <c r="EF61" s="51">
        <f t="shared" si="1415"/>
        <v>37949153.183867186</v>
      </c>
      <c r="EG61" s="51">
        <f t="shared" si="1415"/>
        <v>38498203.109278724</v>
      </c>
      <c r="EH61" s="51">
        <f t="shared" si="1415"/>
        <v>39047253.034690261</v>
      </c>
      <c r="EI61" s="51">
        <f t="shared" si="1415"/>
        <v>39596302.960101798</v>
      </c>
      <c r="EJ61" s="51">
        <f t="shared" si="1415"/>
        <v>45635852.139628664</v>
      </c>
    </row>
    <row r="62" spans="1:140">
      <c r="B62" s="52">
        <f>IF(B61&lt;0,B59,0)</f>
        <v>0</v>
      </c>
      <c r="C62" s="52">
        <f t="shared" ref="C62:M62" si="1416">IF(C61&lt;0,C59,0)</f>
        <v>0</v>
      </c>
      <c r="D62" s="52">
        <f t="shared" si="1416"/>
        <v>0</v>
      </c>
      <c r="E62" s="52">
        <f t="shared" si="1416"/>
        <v>0</v>
      </c>
      <c r="F62" s="52">
        <f t="shared" si="1416"/>
        <v>0</v>
      </c>
      <c r="G62" s="52">
        <f t="shared" si="1416"/>
        <v>0</v>
      </c>
      <c r="H62" s="52">
        <f t="shared" si="1416"/>
        <v>0</v>
      </c>
      <c r="I62" s="52">
        <f t="shared" si="1416"/>
        <v>0</v>
      </c>
      <c r="J62" s="52">
        <f t="shared" si="1416"/>
        <v>0</v>
      </c>
      <c r="K62" s="52">
        <f t="shared" si="1416"/>
        <v>0</v>
      </c>
      <c r="L62" s="52">
        <f t="shared" si="1416"/>
        <v>0</v>
      </c>
      <c r="M62" s="52">
        <f t="shared" si="1416"/>
        <v>0</v>
      </c>
      <c r="N62" s="22">
        <f>SUM(B62:M62)</f>
        <v>0</v>
      </c>
      <c r="P62" s="52">
        <f>IF(P61&lt;0,P59,0)</f>
        <v>0</v>
      </c>
      <c r="Q62" s="52">
        <f t="shared" ref="Q62:AA62" si="1417">IF(Q61&lt;0,Q59,0)</f>
        <v>0</v>
      </c>
      <c r="R62" s="52">
        <f t="shared" si="1417"/>
        <v>0</v>
      </c>
      <c r="S62" s="52">
        <f t="shared" si="1417"/>
        <v>0</v>
      </c>
      <c r="T62" s="52">
        <f t="shared" si="1417"/>
        <v>0</v>
      </c>
      <c r="U62" s="52">
        <f t="shared" si="1417"/>
        <v>0</v>
      </c>
      <c r="V62" s="52">
        <f t="shared" si="1417"/>
        <v>0</v>
      </c>
      <c r="W62" s="52">
        <f t="shared" si="1417"/>
        <v>0</v>
      </c>
      <c r="X62" s="52">
        <f t="shared" si="1417"/>
        <v>0</v>
      </c>
      <c r="Y62" s="52">
        <f t="shared" si="1417"/>
        <v>0</v>
      </c>
      <c r="Z62" s="52">
        <f t="shared" si="1417"/>
        <v>0</v>
      </c>
      <c r="AA62" s="52">
        <f t="shared" si="1417"/>
        <v>0</v>
      </c>
      <c r="AB62" s="22">
        <f>SUM(P62:AA62)</f>
        <v>0</v>
      </c>
      <c r="AD62" s="52">
        <f>IF(AD61&lt;0,AD59,0)</f>
        <v>0</v>
      </c>
      <c r="AE62" s="52">
        <f t="shared" ref="AE62:AO62" si="1418">IF(AE61&lt;0,AE59,0)</f>
        <v>0</v>
      </c>
      <c r="AF62" s="52">
        <f t="shared" si="1418"/>
        <v>0</v>
      </c>
      <c r="AG62" s="52">
        <f t="shared" si="1418"/>
        <v>0</v>
      </c>
      <c r="AH62" s="52">
        <f t="shared" si="1418"/>
        <v>0</v>
      </c>
      <c r="AI62" s="52">
        <f t="shared" si="1418"/>
        <v>0</v>
      </c>
      <c r="AJ62" s="52">
        <f t="shared" si="1418"/>
        <v>0</v>
      </c>
      <c r="AK62" s="52">
        <f t="shared" si="1418"/>
        <v>0</v>
      </c>
      <c r="AL62" s="52">
        <f t="shared" si="1418"/>
        <v>0</v>
      </c>
      <c r="AM62" s="52">
        <f t="shared" si="1418"/>
        <v>0</v>
      </c>
      <c r="AN62" s="52">
        <f t="shared" si="1418"/>
        <v>0</v>
      </c>
      <c r="AO62" s="52">
        <f t="shared" si="1418"/>
        <v>0</v>
      </c>
      <c r="AP62" s="22">
        <f>SUM(AD62:AO62)</f>
        <v>0</v>
      </c>
      <c r="AR62" s="52">
        <f>IF(AR61&lt;0,AR59,0)</f>
        <v>0</v>
      </c>
      <c r="AS62" s="52">
        <f t="shared" ref="AS62:BC62" si="1419">IF(AS61&lt;0,AS59,0)</f>
        <v>0</v>
      </c>
      <c r="AT62" s="52">
        <f t="shared" si="1419"/>
        <v>0</v>
      </c>
      <c r="AU62" s="52">
        <f t="shared" si="1419"/>
        <v>0</v>
      </c>
      <c r="AV62" s="52">
        <f t="shared" si="1419"/>
        <v>0</v>
      </c>
      <c r="AW62" s="52">
        <f t="shared" si="1419"/>
        <v>0</v>
      </c>
      <c r="AX62" s="52">
        <f t="shared" si="1419"/>
        <v>0</v>
      </c>
      <c r="AY62" s="52">
        <f t="shared" si="1419"/>
        <v>0</v>
      </c>
      <c r="AZ62" s="52">
        <f t="shared" si="1419"/>
        <v>0</v>
      </c>
      <c r="BA62" s="52">
        <f t="shared" si="1419"/>
        <v>0</v>
      </c>
      <c r="BB62" s="52">
        <f t="shared" si="1419"/>
        <v>0</v>
      </c>
      <c r="BC62" s="52">
        <f t="shared" si="1419"/>
        <v>0</v>
      </c>
      <c r="BD62" s="22">
        <f>SUM(AR62:BC62)</f>
        <v>0</v>
      </c>
      <c r="BF62" s="52">
        <f>IF(BF61&lt;0,BF59,0)</f>
        <v>0</v>
      </c>
      <c r="BG62" s="52">
        <f t="shared" ref="BG62:BQ62" si="1420">IF(BG61&lt;0,BG59,0)</f>
        <v>0</v>
      </c>
      <c r="BH62" s="52">
        <f t="shared" si="1420"/>
        <v>0</v>
      </c>
      <c r="BI62" s="52">
        <f t="shared" si="1420"/>
        <v>0</v>
      </c>
      <c r="BJ62" s="52">
        <f t="shared" si="1420"/>
        <v>0</v>
      </c>
      <c r="BK62" s="52">
        <f t="shared" si="1420"/>
        <v>0</v>
      </c>
      <c r="BL62" s="52">
        <f t="shared" si="1420"/>
        <v>0</v>
      </c>
      <c r="BM62" s="52">
        <f t="shared" si="1420"/>
        <v>0</v>
      </c>
      <c r="BN62" s="52">
        <f t="shared" si="1420"/>
        <v>0</v>
      </c>
      <c r="BO62" s="52">
        <f t="shared" si="1420"/>
        <v>0</v>
      </c>
      <c r="BP62" s="52">
        <f t="shared" si="1420"/>
        <v>0</v>
      </c>
      <c r="BQ62" s="52">
        <f t="shared" si="1420"/>
        <v>0</v>
      </c>
      <c r="BR62" s="22">
        <f>SUM(BF62:BQ62)</f>
        <v>0</v>
      </c>
      <c r="BT62" s="52">
        <f>IF(BT61&lt;0,BT59,0)</f>
        <v>0</v>
      </c>
      <c r="BU62" s="52">
        <f t="shared" ref="BU62:CE62" si="1421">IF(BU61&lt;0,BU59,0)</f>
        <v>0</v>
      </c>
      <c r="BV62" s="52">
        <f t="shared" si="1421"/>
        <v>0</v>
      </c>
      <c r="BW62" s="52">
        <f t="shared" si="1421"/>
        <v>0</v>
      </c>
      <c r="BX62" s="52">
        <f t="shared" si="1421"/>
        <v>0</v>
      </c>
      <c r="BY62" s="52">
        <f t="shared" si="1421"/>
        <v>0</v>
      </c>
      <c r="BZ62" s="52">
        <f t="shared" si="1421"/>
        <v>0</v>
      </c>
      <c r="CA62" s="52">
        <f t="shared" si="1421"/>
        <v>0</v>
      </c>
      <c r="CB62" s="52">
        <f t="shared" si="1421"/>
        <v>0</v>
      </c>
      <c r="CC62" s="52">
        <f t="shared" si="1421"/>
        <v>0</v>
      </c>
      <c r="CD62" s="52">
        <f t="shared" si="1421"/>
        <v>0</v>
      </c>
      <c r="CE62" s="52">
        <f t="shared" si="1421"/>
        <v>0</v>
      </c>
      <c r="CF62" s="22">
        <f>SUM(BT62:CE62)</f>
        <v>0</v>
      </c>
      <c r="CH62" s="52">
        <f>IF(CH61&lt;0,CH59,0)</f>
        <v>0</v>
      </c>
      <c r="CI62" s="52">
        <f t="shared" ref="CI62:CS62" si="1422">IF(CI61&lt;0,CI59,0)</f>
        <v>0</v>
      </c>
      <c r="CJ62" s="52">
        <f t="shared" si="1422"/>
        <v>0</v>
      </c>
      <c r="CK62" s="52">
        <f t="shared" si="1422"/>
        <v>0</v>
      </c>
      <c r="CL62" s="52">
        <f t="shared" si="1422"/>
        <v>0</v>
      </c>
      <c r="CM62" s="52">
        <f t="shared" si="1422"/>
        <v>0</v>
      </c>
      <c r="CN62" s="52">
        <f t="shared" si="1422"/>
        <v>0</v>
      </c>
      <c r="CO62" s="52">
        <f t="shared" si="1422"/>
        <v>0</v>
      </c>
      <c r="CP62" s="52">
        <f t="shared" si="1422"/>
        <v>0</v>
      </c>
      <c r="CQ62" s="52">
        <f t="shared" si="1422"/>
        <v>0</v>
      </c>
      <c r="CR62" s="52">
        <f t="shared" si="1422"/>
        <v>0</v>
      </c>
      <c r="CS62" s="52">
        <f t="shared" si="1422"/>
        <v>0</v>
      </c>
      <c r="CT62" s="22">
        <f>SUM(CH62:CS62)</f>
        <v>0</v>
      </c>
      <c r="CV62" s="52">
        <f>IF(CV61&lt;0,CV59,0)</f>
        <v>0</v>
      </c>
      <c r="CW62" s="52">
        <f t="shared" ref="CW62:DG62" si="1423">IF(CW61&lt;0,CW59,0)</f>
        <v>0</v>
      </c>
      <c r="CX62" s="52">
        <f t="shared" si="1423"/>
        <v>0</v>
      </c>
      <c r="CY62" s="52">
        <f t="shared" si="1423"/>
        <v>0</v>
      </c>
      <c r="CZ62" s="52">
        <f t="shared" si="1423"/>
        <v>0</v>
      </c>
      <c r="DA62" s="52">
        <f t="shared" si="1423"/>
        <v>0</v>
      </c>
      <c r="DB62" s="52">
        <f t="shared" si="1423"/>
        <v>0</v>
      </c>
      <c r="DC62" s="52">
        <f t="shared" si="1423"/>
        <v>0</v>
      </c>
      <c r="DD62" s="52">
        <f t="shared" si="1423"/>
        <v>0</v>
      </c>
      <c r="DE62" s="52">
        <f t="shared" si="1423"/>
        <v>0</v>
      </c>
      <c r="DF62" s="52">
        <f t="shared" si="1423"/>
        <v>0</v>
      </c>
      <c r="DG62" s="52">
        <f t="shared" si="1423"/>
        <v>0</v>
      </c>
      <c r="DH62" s="22">
        <f>SUM(CV62:DG62)</f>
        <v>0</v>
      </c>
      <c r="DJ62" s="52">
        <f>IF(DJ61&lt;0,DJ59,0)</f>
        <v>0</v>
      </c>
      <c r="DK62" s="52">
        <f t="shared" ref="DK62:DU62" si="1424">IF(DK61&lt;0,DK59,0)</f>
        <v>0</v>
      </c>
      <c r="DL62" s="52">
        <f t="shared" si="1424"/>
        <v>0</v>
      </c>
      <c r="DM62" s="52">
        <f t="shared" si="1424"/>
        <v>0</v>
      </c>
      <c r="DN62" s="52">
        <f t="shared" si="1424"/>
        <v>0</v>
      </c>
      <c r="DO62" s="52">
        <f t="shared" si="1424"/>
        <v>0</v>
      </c>
      <c r="DP62" s="52">
        <f t="shared" si="1424"/>
        <v>0</v>
      </c>
      <c r="DQ62" s="52">
        <f t="shared" si="1424"/>
        <v>0</v>
      </c>
      <c r="DR62" s="52">
        <f t="shared" si="1424"/>
        <v>0</v>
      </c>
      <c r="DS62" s="52">
        <f t="shared" si="1424"/>
        <v>0</v>
      </c>
      <c r="DT62" s="52">
        <f t="shared" si="1424"/>
        <v>0</v>
      </c>
      <c r="DU62" s="52">
        <f t="shared" si="1424"/>
        <v>0</v>
      </c>
      <c r="DV62" s="22">
        <f>SUM(DJ62:DU62)</f>
        <v>0</v>
      </c>
      <c r="DX62" s="52">
        <f>IF(DX61&lt;0,DX59,0)</f>
        <v>0</v>
      </c>
      <c r="DY62" s="52">
        <f t="shared" ref="DY62:EI62" si="1425">IF(DY61&lt;0,DY59,0)</f>
        <v>0</v>
      </c>
      <c r="DZ62" s="52">
        <f t="shared" si="1425"/>
        <v>0</v>
      </c>
      <c r="EA62" s="52">
        <f t="shared" si="1425"/>
        <v>0</v>
      </c>
      <c r="EB62" s="52">
        <f t="shared" si="1425"/>
        <v>0</v>
      </c>
      <c r="EC62" s="52">
        <f t="shared" si="1425"/>
        <v>0</v>
      </c>
      <c r="ED62" s="52">
        <f t="shared" si="1425"/>
        <v>0</v>
      </c>
      <c r="EE62" s="52">
        <f t="shared" si="1425"/>
        <v>0</v>
      </c>
      <c r="EF62" s="52">
        <f t="shared" si="1425"/>
        <v>0</v>
      </c>
      <c r="EG62" s="52">
        <f t="shared" si="1425"/>
        <v>0</v>
      </c>
      <c r="EH62" s="52">
        <f t="shared" si="1425"/>
        <v>0</v>
      </c>
      <c r="EI62" s="52">
        <f t="shared" si="1425"/>
        <v>0</v>
      </c>
      <c r="EJ62" s="22">
        <f>SUM(DX62:EI62)</f>
        <v>0</v>
      </c>
    </row>
  </sheetData>
  <mergeCells count="30">
    <mergeCell ref="AD5:AP5"/>
    <mergeCell ref="AD12:AP12"/>
    <mergeCell ref="AD55:AP55"/>
    <mergeCell ref="B5:N5"/>
    <mergeCell ref="B12:N12"/>
    <mergeCell ref="B55:N55"/>
    <mergeCell ref="P5:AB5"/>
    <mergeCell ref="P12:AB12"/>
    <mergeCell ref="P55:AB55"/>
    <mergeCell ref="AR5:BD5"/>
    <mergeCell ref="AR12:BD12"/>
    <mergeCell ref="AR55:BD55"/>
    <mergeCell ref="BT55:CF55"/>
    <mergeCell ref="CH5:CT5"/>
    <mergeCell ref="CH12:CT12"/>
    <mergeCell ref="CH55:CT55"/>
    <mergeCell ref="BF5:BR5"/>
    <mergeCell ref="BF12:BR12"/>
    <mergeCell ref="BF55:BR55"/>
    <mergeCell ref="BT5:CF5"/>
    <mergeCell ref="BT12:CF12"/>
    <mergeCell ref="DX5:EJ5"/>
    <mergeCell ref="DX12:EJ12"/>
    <mergeCell ref="DX55:EJ55"/>
    <mergeCell ref="CV5:DH5"/>
    <mergeCell ref="CV12:DH12"/>
    <mergeCell ref="CV55:DH55"/>
    <mergeCell ref="DJ5:DV5"/>
    <mergeCell ref="DJ12:DV12"/>
    <mergeCell ref="DJ55:DV55"/>
  </mergeCells>
  <phoneticPr fontId="1" type="noConversion"/>
  <conditionalFormatting sqref="A59:XFD60">
    <cfRule type="cellIs" dxfId="14" priority="11" operator="lessThan">
      <formula>0</formula>
    </cfRule>
  </conditionalFormatting>
  <conditionalFormatting sqref="B61:N61">
    <cfRule type="cellIs" dxfId="13" priority="10" operator="lessThan">
      <formula>0</formula>
    </cfRule>
  </conditionalFormatting>
  <conditionalFormatting sqref="P61:AB61">
    <cfRule type="cellIs" dxfId="12" priority="9" operator="lessThan">
      <formula>0</formula>
    </cfRule>
  </conditionalFormatting>
  <conditionalFormatting sqref="AD61:AP61">
    <cfRule type="cellIs" dxfId="11" priority="8" operator="lessThan">
      <formula>0</formula>
    </cfRule>
  </conditionalFormatting>
  <conditionalFormatting sqref="AR61:BD61">
    <cfRule type="cellIs" dxfId="10" priority="7" operator="lessThan">
      <formula>0</formula>
    </cfRule>
  </conditionalFormatting>
  <conditionalFormatting sqref="BF61:BR61">
    <cfRule type="cellIs" dxfId="9" priority="6" operator="lessThan">
      <formula>0</formula>
    </cfRule>
  </conditionalFormatting>
  <conditionalFormatting sqref="BT61:CF61">
    <cfRule type="cellIs" dxfId="8" priority="5" operator="lessThan">
      <formula>0</formula>
    </cfRule>
  </conditionalFormatting>
  <conditionalFormatting sqref="CH61:CT61">
    <cfRule type="cellIs" dxfId="7" priority="4" operator="lessThan">
      <formula>0</formula>
    </cfRule>
  </conditionalFormatting>
  <conditionalFormatting sqref="CV61:DH61">
    <cfRule type="cellIs" dxfId="6" priority="3" operator="lessThan">
      <formula>0</formula>
    </cfRule>
  </conditionalFormatting>
  <conditionalFormatting sqref="DJ61:DV61">
    <cfRule type="cellIs" dxfId="5" priority="2" operator="lessThan">
      <formula>0</formula>
    </cfRule>
  </conditionalFormatting>
  <conditionalFormatting sqref="DX61:EJ61">
    <cfRule type="cellIs" dxfId="4" priority="1" operator="lessThan">
      <formula>0</formula>
    </cfRule>
  </conditionalFormatting>
  <pageMargins left="0.7" right="0.7" top="0.75" bottom="0.75" header="0.3" footer="0.3"/>
  <pageSetup paperSize="9" orientation="portrait"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B9E01-CFFF-4FAB-9F8F-2E6D64231FD4}">
  <dimension ref="A1:P31"/>
  <sheetViews>
    <sheetView topLeftCell="B1" zoomScale="115" zoomScaleNormal="115" workbookViewId="0">
      <selection activeCell="C23" sqref="C23"/>
    </sheetView>
  </sheetViews>
  <sheetFormatPr defaultColWidth="11.42578125" defaultRowHeight="14.45"/>
  <cols>
    <col min="1" max="1" width="11.42578125" style="2"/>
    <col min="2" max="2" width="35.85546875" style="2" bestFit="1" customWidth="1"/>
    <col min="3" max="3" width="17.42578125" style="2" bestFit="1" customWidth="1"/>
    <col min="4" max="4" width="14.42578125" style="2" bestFit="1" customWidth="1"/>
    <col min="5" max="5" width="14.140625" style="2" bestFit="1" customWidth="1"/>
    <col min="6" max="6" width="14" style="2" bestFit="1" customWidth="1"/>
    <col min="7" max="14" width="12.42578125" style="2" bestFit="1" customWidth="1"/>
    <col min="15" max="15" width="23.5703125" style="2" bestFit="1" customWidth="1"/>
    <col min="16" max="16384" width="11.42578125" style="2"/>
  </cols>
  <sheetData>
    <row r="1" spans="1:16" ht="25.9">
      <c r="B1" s="41" t="s">
        <v>254</v>
      </c>
    </row>
    <row r="3" spans="1:16">
      <c r="B3" s="104" t="s">
        <v>255</v>
      </c>
      <c r="C3" s="104"/>
      <c r="D3" s="104"/>
      <c r="E3" s="104"/>
      <c r="F3" s="104"/>
      <c r="G3" s="104"/>
      <c r="H3" s="104"/>
      <c r="I3" s="104"/>
      <c r="J3" s="104"/>
      <c r="K3" s="104"/>
      <c r="L3" s="104"/>
      <c r="M3" s="104"/>
      <c r="N3" s="104"/>
      <c r="O3" s="104"/>
    </row>
    <row r="4" spans="1:16">
      <c r="B4" s="105" t="s">
        <v>256</v>
      </c>
      <c r="C4" s="106" t="s">
        <v>257</v>
      </c>
      <c r="D4" s="106" t="s">
        <v>258</v>
      </c>
      <c r="E4" s="105" t="s">
        <v>259</v>
      </c>
      <c r="F4" s="105"/>
      <c r="G4" s="105"/>
      <c r="H4" s="105"/>
      <c r="I4" s="105"/>
      <c r="J4" s="105"/>
      <c r="K4" s="105"/>
      <c r="L4" s="105"/>
      <c r="M4" s="105"/>
      <c r="N4" s="105"/>
      <c r="O4" s="106" t="s">
        <v>260</v>
      </c>
    </row>
    <row r="5" spans="1:16">
      <c r="B5" s="105"/>
      <c r="C5" s="106"/>
      <c r="D5" s="106"/>
      <c r="E5" s="42" t="s">
        <v>196</v>
      </c>
      <c r="F5" s="42" t="s">
        <v>197</v>
      </c>
      <c r="G5" s="42" t="s">
        <v>261</v>
      </c>
      <c r="H5" s="42" t="s">
        <v>199</v>
      </c>
      <c r="I5" s="42" t="s">
        <v>200</v>
      </c>
      <c r="J5" s="42" t="s">
        <v>201</v>
      </c>
      <c r="K5" s="42" t="s">
        <v>202</v>
      </c>
      <c r="L5" s="42" t="s">
        <v>203</v>
      </c>
      <c r="M5" s="42" t="s">
        <v>204</v>
      </c>
      <c r="N5" s="42" t="s">
        <v>205</v>
      </c>
      <c r="O5" s="106"/>
    </row>
    <row r="6" spans="1:16">
      <c r="A6" s="102" t="s">
        <v>262</v>
      </c>
      <c r="B6" s="43" t="str">
        <f>Balances!C7</f>
        <v>Sierra de mesa o sierra circular industrial</v>
      </c>
      <c r="C6" s="43">
        <f>Balances!F7</f>
        <v>30000</v>
      </c>
      <c r="D6" s="44">
        <f>Balances!G7</f>
        <v>10</v>
      </c>
      <c r="E6" s="43">
        <f>$C6/$D6</f>
        <v>3000</v>
      </c>
      <c r="F6" s="43">
        <f t="shared" ref="F6:N6" si="0">$C6/$D6</f>
        <v>3000</v>
      </c>
      <c r="G6" s="43">
        <f t="shared" si="0"/>
        <v>3000</v>
      </c>
      <c r="H6" s="43">
        <f t="shared" si="0"/>
        <v>3000</v>
      </c>
      <c r="I6" s="43">
        <f t="shared" si="0"/>
        <v>3000</v>
      </c>
      <c r="J6" s="43">
        <f t="shared" si="0"/>
        <v>3000</v>
      </c>
      <c r="K6" s="43">
        <f t="shared" si="0"/>
        <v>3000</v>
      </c>
      <c r="L6" s="43">
        <f t="shared" si="0"/>
        <v>3000</v>
      </c>
      <c r="M6" s="43">
        <f t="shared" si="0"/>
        <v>3000</v>
      </c>
      <c r="N6" s="43">
        <f t="shared" si="0"/>
        <v>3000</v>
      </c>
      <c r="O6" s="45">
        <f>SUM(E6:N6)</f>
        <v>30000</v>
      </c>
      <c r="P6" s="46"/>
    </row>
    <row r="7" spans="1:16">
      <c r="A7" s="102"/>
      <c r="B7" s="43" t="str">
        <f>Balances!C8</f>
        <v>Sierra ingleteadora</v>
      </c>
      <c r="C7" s="43">
        <f>Balances!F8</f>
        <v>12000</v>
      </c>
      <c r="D7" s="44">
        <f>Balances!G8</f>
        <v>10</v>
      </c>
      <c r="E7" s="43">
        <f t="shared" ref="E7:N30" si="1">$C7/$D7</f>
        <v>1200</v>
      </c>
      <c r="F7" s="43">
        <f t="shared" si="1"/>
        <v>1200</v>
      </c>
      <c r="G7" s="43">
        <f t="shared" si="1"/>
        <v>1200</v>
      </c>
      <c r="H7" s="43">
        <f t="shared" si="1"/>
        <v>1200</v>
      </c>
      <c r="I7" s="43">
        <f t="shared" si="1"/>
        <v>1200</v>
      </c>
      <c r="J7" s="43">
        <f t="shared" si="1"/>
        <v>1200</v>
      </c>
      <c r="K7" s="43">
        <f t="shared" si="1"/>
        <v>1200</v>
      </c>
      <c r="L7" s="43">
        <f t="shared" si="1"/>
        <v>1200</v>
      </c>
      <c r="M7" s="43">
        <f t="shared" si="1"/>
        <v>1200</v>
      </c>
      <c r="N7" s="43">
        <f t="shared" si="1"/>
        <v>1200</v>
      </c>
      <c r="O7" s="45">
        <f t="shared" ref="O7:O30" si="2">SUM(E7:N7)</f>
        <v>12000</v>
      </c>
    </row>
    <row r="8" spans="1:16">
      <c r="A8" s="102"/>
      <c r="B8" s="43" t="str">
        <f>Balances!C9</f>
        <v>Router o fresadora de madera</v>
      </c>
      <c r="C8" s="43">
        <f>Balances!F9</f>
        <v>18000</v>
      </c>
      <c r="D8" s="44">
        <f>Balances!G9</f>
        <v>10</v>
      </c>
      <c r="E8" s="43">
        <f t="shared" si="1"/>
        <v>1800</v>
      </c>
      <c r="F8" s="43">
        <f t="shared" si="1"/>
        <v>1800</v>
      </c>
      <c r="G8" s="43">
        <f t="shared" si="1"/>
        <v>1800</v>
      </c>
      <c r="H8" s="43">
        <f t="shared" si="1"/>
        <v>1800</v>
      </c>
      <c r="I8" s="43">
        <f t="shared" si="1"/>
        <v>1800</v>
      </c>
      <c r="J8" s="43">
        <f t="shared" si="1"/>
        <v>1800</v>
      </c>
      <c r="K8" s="43">
        <f t="shared" si="1"/>
        <v>1800</v>
      </c>
      <c r="L8" s="43">
        <f t="shared" si="1"/>
        <v>1800</v>
      </c>
      <c r="M8" s="43">
        <f t="shared" si="1"/>
        <v>1800</v>
      </c>
      <c r="N8" s="43">
        <f t="shared" si="1"/>
        <v>1800</v>
      </c>
      <c r="O8" s="45">
        <f t="shared" si="2"/>
        <v>18000</v>
      </c>
    </row>
    <row r="9" spans="1:16">
      <c r="A9" s="102"/>
      <c r="B9" s="43" t="str">
        <f>Balances!C10</f>
        <v>Lijadora de banda y disco</v>
      </c>
      <c r="C9" s="43">
        <f>Balances!F10</f>
        <v>7000</v>
      </c>
      <c r="D9" s="44">
        <f>Balances!G10</f>
        <v>10</v>
      </c>
      <c r="E9" s="43">
        <f t="shared" si="1"/>
        <v>700</v>
      </c>
      <c r="F9" s="43">
        <f t="shared" si="1"/>
        <v>700</v>
      </c>
      <c r="G9" s="43">
        <f t="shared" si="1"/>
        <v>700</v>
      </c>
      <c r="H9" s="43">
        <f t="shared" si="1"/>
        <v>700</v>
      </c>
      <c r="I9" s="43">
        <f t="shared" si="1"/>
        <v>700</v>
      </c>
      <c r="J9" s="43">
        <f t="shared" si="1"/>
        <v>700</v>
      </c>
      <c r="K9" s="43">
        <f t="shared" si="1"/>
        <v>700</v>
      </c>
      <c r="L9" s="43">
        <f t="shared" si="1"/>
        <v>700</v>
      </c>
      <c r="M9" s="43">
        <f t="shared" si="1"/>
        <v>700</v>
      </c>
      <c r="N9" s="43">
        <f t="shared" si="1"/>
        <v>700</v>
      </c>
      <c r="O9" s="45">
        <f t="shared" si="2"/>
        <v>7000</v>
      </c>
    </row>
    <row r="10" spans="1:16">
      <c r="A10" s="102"/>
      <c r="B10" s="43" t="str">
        <f>Balances!C11</f>
        <v>Compresor de aire con pistola de clavado</v>
      </c>
      <c r="C10" s="43">
        <f>Balances!F11</f>
        <v>8500</v>
      </c>
      <c r="D10" s="44">
        <f>Balances!G11</f>
        <v>10</v>
      </c>
      <c r="E10" s="43">
        <f t="shared" si="1"/>
        <v>850</v>
      </c>
      <c r="F10" s="43">
        <f t="shared" si="1"/>
        <v>850</v>
      </c>
      <c r="G10" s="43">
        <f t="shared" si="1"/>
        <v>850</v>
      </c>
      <c r="H10" s="43">
        <f t="shared" si="1"/>
        <v>850</v>
      </c>
      <c r="I10" s="43">
        <f t="shared" si="1"/>
        <v>850</v>
      </c>
      <c r="J10" s="43">
        <f t="shared" si="1"/>
        <v>850</v>
      </c>
      <c r="K10" s="43">
        <f t="shared" si="1"/>
        <v>850</v>
      </c>
      <c r="L10" s="43">
        <f t="shared" si="1"/>
        <v>850</v>
      </c>
      <c r="M10" s="43">
        <f t="shared" si="1"/>
        <v>850</v>
      </c>
      <c r="N10" s="43">
        <f t="shared" si="1"/>
        <v>850</v>
      </c>
      <c r="O10" s="45">
        <f t="shared" si="2"/>
        <v>8500</v>
      </c>
    </row>
    <row r="11" spans="1:16">
      <c r="A11" s="102"/>
      <c r="B11" s="43" t="str">
        <f>Balances!C12</f>
        <v>Prensas de ensamblaje</v>
      </c>
      <c r="C11" s="43">
        <f>Balances!F12</f>
        <v>6500</v>
      </c>
      <c r="D11" s="44">
        <f>Balances!G12</f>
        <v>10</v>
      </c>
      <c r="E11" s="43">
        <f t="shared" si="1"/>
        <v>650</v>
      </c>
      <c r="F11" s="43">
        <f t="shared" si="1"/>
        <v>650</v>
      </c>
      <c r="G11" s="43">
        <f t="shared" si="1"/>
        <v>650</v>
      </c>
      <c r="H11" s="43">
        <f t="shared" si="1"/>
        <v>650</v>
      </c>
      <c r="I11" s="43">
        <f t="shared" si="1"/>
        <v>650</v>
      </c>
      <c r="J11" s="43">
        <f t="shared" si="1"/>
        <v>650</v>
      </c>
      <c r="K11" s="43">
        <f t="shared" si="1"/>
        <v>650</v>
      </c>
      <c r="L11" s="43">
        <f t="shared" si="1"/>
        <v>650</v>
      </c>
      <c r="M11" s="43">
        <f t="shared" si="1"/>
        <v>650</v>
      </c>
      <c r="N11" s="43">
        <f t="shared" si="1"/>
        <v>650</v>
      </c>
      <c r="O11" s="45">
        <f t="shared" si="2"/>
        <v>6500</v>
      </c>
    </row>
    <row r="12" spans="1:16">
      <c r="A12" s="102"/>
      <c r="B12" s="43" t="str">
        <f>Balances!C13</f>
        <v>Cabina de pintura o barnizado</v>
      </c>
      <c r="C12" s="43">
        <f>Balances!F13</f>
        <v>28000</v>
      </c>
      <c r="D12" s="44">
        <f>Balances!G13</f>
        <v>10</v>
      </c>
      <c r="E12" s="43">
        <f t="shared" si="1"/>
        <v>2800</v>
      </c>
      <c r="F12" s="43">
        <f t="shared" si="1"/>
        <v>2800</v>
      </c>
      <c r="G12" s="43">
        <f t="shared" si="1"/>
        <v>2800</v>
      </c>
      <c r="H12" s="43">
        <f t="shared" si="1"/>
        <v>2800</v>
      </c>
      <c r="I12" s="43">
        <f t="shared" si="1"/>
        <v>2800</v>
      </c>
      <c r="J12" s="43">
        <f t="shared" si="1"/>
        <v>2800</v>
      </c>
      <c r="K12" s="43">
        <f t="shared" si="1"/>
        <v>2800</v>
      </c>
      <c r="L12" s="43">
        <f t="shared" si="1"/>
        <v>2800</v>
      </c>
      <c r="M12" s="43">
        <f t="shared" si="1"/>
        <v>2800</v>
      </c>
      <c r="N12" s="43">
        <f t="shared" si="1"/>
        <v>2800</v>
      </c>
      <c r="O12" s="45">
        <f t="shared" si="2"/>
        <v>28000</v>
      </c>
    </row>
    <row r="13" spans="1:16">
      <c r="A13" s="102"/>
      <c r="B13" s="43" t="str">
        <f>Balances!C14</f>
        <v>Equipo de pulido y cepillado</v>
      </c>
      <c r="C13" s="43">
        <f>Balances!F14</f>
        <v>13500</v>
      </c>
      <c r="D13" s="44">
        <f>Balances!G14</f>
        <v>10</v>
      </c>
      <c r="E13" s="43">
        <f t="shared" si="1"/>
        <v>1350</v>
      </c>
      <c r="F13" s="43">
        <f t="shared" si="1"/>
        <v>1350</v>
      </c>
      <c r="G13" s="43">
        <f t="shared" si="1"/>
        <v>1350</v>
      </c>
      <c r="H13" s="43">
        <f t="shared" si="1"/>
        <v>1350</v>
      </c>
      <c r="I13" s="43">
        <f t="shared" si="1"/>
        <v>1350</v>
      </c>
      <c r="J13" s="43">
        <f t="shared" si="1"/>
        <v>1350</v>
      </c>
      <c r="K13" s="43">
        <f t="shared" si="1"/>
        <v>1350</v>
      </c>
      <c r="L13" s="43">
        <f t="shared" si="1"/>
        <v>1350</v>
      </c>
      <c r="M13" s="43">
        <f t="shared" si="1"/>
        <v>1350</v>
      </c>
      <c r="N13" s="43">
        <f t="shared" si="1"/>
        <v>1350</v>
      </c>
      <c r="O13" s="45">
        <f t="shared" si="2"/>
        <v>13500</v>
      </c>
    </row>
    <row r="14" spans="1:16">
      <c r="A14" s="102"/>
      <c r="B14" s="43" t="str">
        <f>Balances!C15</f>
        <v>Calibrador y escuadras de precisión</v>
      </c>
      <c r="C14" s="43">
        <f>Balances!F15</f>
        <v>4500</v>
      </c>
      <c r="D14" s="44">
        <f>Balances!G15</f>
        <v>10</v>
      </c>
      <c r="E14" s="43">
        <f t="shared" si="1"/>
        <v>450</v>
      </c>
      <c r="F14" s="43">
        <f t="shared" si="1"/>
        <v>450</v>
      </c>
      <c r="G14" s="43">
        <f t="shared" si="1"/>
        <v>450</v>
      </c>
      <c r="H14" s="43">
        <f t="shared" si="1"/>
        <v>450</v>
      </c>
      <c r="I14" s="43">
        <f t="shared" si="1"/>
        <v>450</v>
      </c>
      <c r="J14" s="43">
        <f t="shared" si="1"/>
        <v>450</v>
      </c>
      <c r="K14" s="43">
        <f t="shared" si="1"/>
        <v>450</v>
      </c>
      <c r="L14" s="43">
        <f t="shared" si="1"/>
        <v>450</v>
      </c>
      <c r="M14" s="43">
        <f t="shared" si="1"/>
        <v>450</v>
      </c>
      <c r="N14" s="43">
        <f t="shared" si="1"/>
        <v>450</v>
      </c>
      <c r="O14" s="45">
        <f t="shared" si="2"/>
        <v>4500</v>
      </c>
    </row>
    <row r="15" spans="1:16">
      <c r="A15" s="102"/>
      <c r="B15" s="43" t="str">
        <f>Balances!C16</f>
        <v>Mesas de trabajo</v>
      </c>
      <c r="C15" s="43">
        <f>Balances!F16</f>
        <v>4800</v>
      </c>
      <c r="D15" s="44">
        <f>Balances!G16</f>
        <v>10</v>
      </c>
      <c r="E15" s="43">
        <f t="shared" si="1"/>
        <v>480</v>
      </c>
      <c r="F15" s="43">
        <f t="shared" si="1"/>
        <v>480</v>
      </c>
      <c r="G15" s="43">
        <f t="shared" si="1"/>
        <v>480</v>
      </c>
      <c r="H15" s="43">
        <f t="shared" si="1"/>
        <v>480</v>
      </c>
      <c r="I15" s="43">
        <f t="shared" si="1"/>
        <v>480</v>
      </c>
      <c r="J15" s="43">
        <f t="shared" si="1"/>
        <v>480</v>
      </c>
      <c r="K15" s="43">
        <f t="shared" si="1"/>
        <v>480</v>
      </c>
      <c r="L15" s="43">
        <f t="shared" si="1"/>
        <v>480</v>
      </c>
      <c r="M15" s="43">
        <f t="shared" si="1"/>
        <v>480</v>
      </c>
      <c r="N15" s="43">
        <f t="shared" si="1"/>
        <v>480</v>
      </c>
      <c r="O15" s="45">
        <f t="shared" si="2"/>
        <v>4800</v>
      </c>
    </row>
    <row r="16" spans="1:16">
      <c r="A16" s="102"/>
      <c r="B16" s="43" t="str">
        <f>Balances!C17</f>
        <v>Estantes y racks</v>
      </c>
      <c r="C16" s="43">
        <f>Balances!F17</f>
        <v>3800</v>
      </c>
      <c r="D16" s="44">
        <f>Balances!G17</f>
        <v>10</v>
      </c>
      <c r="E16" s="43">
        <f t="shared" si="1"/>
        <v>380</v>
      </c>
      <c r="F16" s="43">
        <f t="shared" si="1"/>
        <v>380</v>
      </c>
      <c r="G16" s="43">
        <f t="shared" si="1"/>
        <v>380</v>
      </c>
      <c r="H16" s="43">
        <f t="shared" si="1"/>
        <v>380</v>
      </c>
      <c r="I16" s="43">
        <f t="shared" si="1"/>
        <v>380</v>
      </c>
      <c r="J16" s="43">
        <f t="shared" si="1"/>
        <v>380</v>
      </c>
      <c r="K16" s="43">
        <f t="shared" si="1"/>
        <v>380</v>
      </c>
      <c r="L16" s="43">
        <f t="shared" si="1"/>
        <v>380</v>
      </c>
      <c r="M16" s="43">
        <f t="shared" si="1"/>
        <v>380</v>
      </c>
      <c r="N16" s="43">
        <f t="shared" si="1"/>
        <v>380</v>
      </c>
      <c r="O16" s="45">
        <f t="shared" si="2"/>
        <v>3800</v>
      </c>
    </row>
    <row r="17" spans="1:15">
      <c r="A17" s="102"/>
      <c r="B17" s="43" t="str">
        <f>Balances!C18</f>
        <v>Sistema de aspiración de polvo</v>
      </c>
      <c r="C17" s="43">
        <f>Balances!F18</f>
        <v>29000</v>
      </c>
      <c r="D17" s="44">
        <f>Balances!G18</f>
        <v>10</v>
      </c>
      <c r="E17" s="43">
        <f t="shared" si="1"/>
        <v>2900</v>
      </c>
      <c r="F17" s="43">
        <f t="shared" si="1"/>
        <v>2900</v>
      </c>
      <c r="G17" s="43">
        <f t="shared" si="1"/>
        <v>2900</v>
      </c>
      <c r="H17" s="43">
        <f t="shared" si="1"/>
        <v>2900</v>
      </c>
      <c r="I17" s="43">
        <f t="shared" si="1"/>
        <v>2900</v>
      </c>
      <c r="J17" s="43">
        <f t="shared" si="1"/>
        <v>2900</v>
      </c>
      <c r="K17" s="43">
        <f t="shared" si="1"/>
        <v>2900</v>
      </c>
      <c r="L17" s="43">
        <f t="shared" si="1"/>
        <v>2900</v>
      </c>
      <c r="M17" s="43">
        <f t="shared" si="1"/>
        <v>2900</v>
      </c>
      <c r="N17" s="43">
        <f t="shared" si="1"/>
        <v>2900</v>
      </c>
      <c r="O17" s="45">
        <f t="shared" si="2"/>
        <v>29000</v>
      </c>
    </row>
    <row r="18" spans="1:15">
      <c r="A18" s="102"/>
      <c r="B18" s="43" t="str">
        <f>Balances!C19</f>
        <v>Computadora con software de diseño</v>
      </c>
      <c r="C18" s="43">
        <f>Balances!F19</f>
        <v>35000</v>
      </c>
      <c r="D18" s="44">
        <f>Balances!G19</f>
        <v>5</v>
      </c>
      <c r="E18" s="43">
        <f t="shared" si="1"/>
        <v>7000</v>
      </c>
      <c r="F18" s="43">
        <f t="shared" si="1"/>
        <v>7000</v>
      </c>
      <c r="G18" s="43">
        <f t="shared" si="1"/>
        <v>7000</v>
      </c>
      <c r="H18" s="43">
        <f t="shared" si="1"/>
        <v>7000</v>
      </c>
      <c r="I18" s="43">
        <f t="shared" si="1"/>
        <v>7000</v>
      </c>
      <c r="J18" s="43">
        <f t="shared" si="1"/>
        <v>7000</v>
      </c>
      <c r="K18" s="43">
        <f t="shared" si="1"/>
        <v>7000</v>
      </c>
      <c r="L18" s="43">
        <f t="shared" si="1"/>
        <v>7000</v>
      </c>
      <c r="M18" s="43">
        <f t="shared" si="1"/>
        <v>7000</v>
      </c>
      <c r="N18" s="43">
        <f t="shared" si="1"/>
        <v>7000</v>
      </c>
      <c r="O18" s="45">
        <f t="shared" si="2"/>
        <v>70000</v>
      </c>
    </row>
    <row r="19" spans="1:15">
      <c r="A19" s="102"/>
      <c r="B19" s="43" t="str">
        <f>Balances!C20</f>
        <v>Impresora o plotter de gran formato</v>
      </c>
      <c r="C19" s="43">
        <f>Balances!F20</f>
        <v>18000</v>
      </c>
      <c r="D19" s="44">
        <f>Balances!G20</f>
        <v>5</v>
      </c>
      <c r="E19" s="43">
        <f t="shared" si="1"/>
        <v>3600</v>
      </c>
      <c r="F19" s="43">
        <f t="shared" si="1"/>
        <v>3600</v>
      </c>
      <c r="G19" s="43">
        <f t="shared" si="1"/>
        <v>3600</v>
      </c>
      <c r="H19" s="43">
        <f t="shared" si="1"/>
        <v>3600</v>
      </c>
      <c r="I19" s="43">
        <f t="shared" si="1"/>
        <v>3600</v>
      </c>
      <c r="J19" s="43">
        <f t="shared" si="1"/>
        <v>3600</v>
      </c>
      <c r="K19" s="43">
        <f t="shared" si="1"/>
        <v>3600</v>
      </c>
      <c r="L19" s="43">
        <f t="shared" si="1"/>
        <v>3600</v>
      </c>
      <c r="M19" s="43">
        <f t="shared" si="1"/>
        <v>3600</v>
      </c>
      <c r="N19" s="43">
        <f t="shared" si="1"/>
        <v>3600</v>
      </c>
      <c r="O19" s="45">
        <f t="shared" si="2"/>
        <v>36000</v>
      </c>
    </row>
    <row r="20" spans="1:15">
      <c r="A20" s="102"/>
      <c r="B20" s="43" t="str">
        <f>Balances!C21</f>
        <v xml:space="preserve">Escritorio </v>
      </c>
      <c r="C20" s="43">
        <f>Balances!F21</f>
        <v>3500</v>
      </c>
      <c r="D20" s="44">
        <f>Balances!G21</f>
        <v>10</v>
      </c>
      <c r="E20" s="43">
        <f t="shared" si="1"/>
        <v>350</v>
      </c>
      <c r="F20" s="43">
        <f t="shared" si="1"/>
        <v>350</v>
      </c>
      <c r="G20" s="43">
        <f t="shared" si="1"/>
        <v>350</v>
      </c>
      <c r="H20" s="43">
        <f t="shared" si="1"/>
        <v>350</v>
      </c>
      <c r="I20" s="43">
        <f t="shared" si="1"/>
        <v>350</v>
      </c>
      <c r="J20" s="43">
        <f t="shared" si="1"/>
        <v>350</v>
      </c>
      <c r="K20" s="43">
        <f t="shared" si="1"/>
        <v>350</v>
      </c>
      <c r="L20" s="43">
        <f t="shared" si="1"/>
        <v>350</v>
      </c>
      <c r="M20" s="43">
        <f t="shared" si="1"/>
        <v>350</v>
      </c>
      <c r="N20" s="43">
        <f t="shared" si="1"/>
        <v>350</v>
      </c>
      <c r="O20" s="45">
        <f t="shared" si="2"/>
        <v>3500</v>
      </c>
    </row>
    <row r="21" spans="1:15">
      <c r="A21" s="102"/>
      <c r="B21" s="43" t="str">
        <f>Balances!C22</f>
        <v xml:space="preserve">Silla de oficina </v>
      </c>
      <c r="C21" s="43">
        <f>Balances!F22</f>
        <v>2100</v>
      </c>
      <c r="D21" s="44">
        <f>Balances!G22</f>
        <v>10</v>
      </c>
      <c r="E21" s="43">
        <f t="shared" si="1"/>
        <v>210</v>
      </c>
      <c r="F21" s="43">
        <f t="shared" si="1"/>
        <v>210</v>
      </c>
      <c r="G21" s="43">
        <f t="shared" si="1"/>
        <v>210</v>
      </c>
      <c r="H21" s="43">
        <f t="shared" si="1"/>
        <v>210</v>
      </c>
      <c r="I21" s="43">
        <f t="shared" si="1"/>
        <v>210</v>
      </c>
      <c r="J21" s="43">
        <f t="shared" si="1"/>
        <v>210</v>
      </c>
      <c r="K21" s="43">
        <f t="shared" si="1"/>
        <v>210</v>
      </c>
      <c r="L21" s="43">
        <f t="shared" si="1"/>
        <v>210</v>
      </c>
      <c r="M21" s="43">
        <f t="shared" si="1"/>
        <v>210</v>
      </c>
      <c r="N21" s="43">
        <f t="shared" si="1"/>
        <v>210</v>
      </c>
      <c r="O21" s="45">
        <f t="shared" si="2"/>
        <v>2100</v>
      </c>
    </row>
    <row r="22" spans="1:15">
      <c r="A22" s="102"/>
      <c r="B22" s="43" t="str">
        <f>Balances!C23</f>
        <v xml:space="preserve">Vehículo compacto </v>
      </c>
      <c r="C22" s="43">
        <f>Balances!F23</f>
        <v>360000</v>
      </c>
      <c r="D22" s="44">
        <v>10</v>
      </c>
      <c r="E22" s="43">
        <f t="shared" si="1"/>
        <v>36000</v>
      </c>
      <c r="F22" s="43">
        <f t="shared" si="1"/>
        <v>36000</v>
      </c>
      <c r="G22" s="43">
        <f t="shared" si="1"/>
        <v>36000</v>
      </c>
      <c r="H22" s="43">
        <f t="shared" si="1"/>
        <v>36000</v>
      </c>
      <c r="I22" s="43">
        <f t="shared" si="1"/>
        <v>36000</v>
      </c>
      <c r="J22" s="43">
        <f t="shared" si="1"/>
        <v>36000</v>
      </c>
      <c r="K22" s="43">
        <f t="shared" si="1"/>
        <v>36000</v>
      </c>
      <c r="L22" s="43">
        <f t="shared" si="1"/>
        <v>36000</v>
      </c>
      <c r="M22" s="43">
        <f t="shared" si="1"/>
        <v>36000</v>
      </c>
      <c r="N22" s="43">
        <f t="shared" si="1"/>
        <v>36000</v>
      </c>
      <c r="O22" s="45">
        <f t="shared" si="2"/>
        <v>360000</v>
      </c>
    </row>
    <row r="23" spans="1:15">
      <c r="A23" s="102"/>
      <c r="B23" s="43" t="str">
        <f>Balances!C24</f>
        <v xml:space="preserve">Vehículo de carga </v>
      </c>
      <c r="C23" s="43">
        <f>Balances!F24</f>
        <v>900000</v>
      </c>
      <c r="D23" s="44">
        <v>10</v>
      </c>
      <c r="E23" s="43">
        <f t="shared" si="1"/>
        <v>90000</v>
      </c>
      <c r="F23" s="43">
        <f t="shared" si="1"/>
        <v>90000</v>
      </c>
      <c r="G23" s="43">
        <f t="shared" si="1"/>
        <v>90000</v>
      </c>
      <c r="H23" s="43">
        <f t="shared" si="1"/>
        <v>90000</v>
      </c>
      <c r="I23" s="43">
        <f t="shared" si="1"/>
        <v>90000</v>
      </c>
      <c r="J23" s="43">
        <f t="shared" si="1"/>
        <v>90000</v>
      </c>
      <c r="K23" s="43">
        <f t="shared" si="1"/>
        <v>90000</v>
      </c>
      <c r="L23" s="43">
        <f t="shared" si="1"/>
        <v>90000</v>
      </c>
      <c r="M23" s="43">
        <f t="shared" si="1"/>
        <v>90000</v>
      </c>
      <c r="N23" s="43">
        <f t="shared" si="1"/>
        <v>90000</v>
      </c>
      <c r="O23" s="45">
        <f t="shared" si="2"/>
        <v>900000</v>
      </c>
    </row>
    <row r="24" spans="1:15">
      <c r="A24" s="102"/>
      <c r="B24" s="43" t="str">
        <f>Balances!C25</f>
        <v>Pantalla 55 pulgadas</v>
      </c>
      <c r="C24" s="43">
        <f>Balances!F25</f>
        <v>12000</v>
      </c>
      <c r="D24" s="44">
        <f>Balances!G25</f>
        <v>10</v>
      </c>
      <c r="E24" s="43">
        <f t="shared" si="1"/>
        <v>1200</v>
      </c>
      <c r="F24" s="43">
        <f t="shared" si="1"/>
        <v>1200</v>
      </c>
      <c r="G24" s="43">
        <f t="shared" si="1"/>
        <v>1200</v>
      </c>
      <c r="H24" s="43">
        <f t="shared" si="1"/>
        <v>1200</v>
      </c>
      <c r="I24" s="43">
        <f t="shared" si="1"/>
        <v>1200</v>
      </c>
      <c r="J24" s="43">
        <f t="shared" si="1"/>
        <v>1200</v>
      </c>
      <c r="K24" s="43">
        <f t="shared" si="1"/>
        <v>1200</v>
      </c>
      <c r="L24" s="43">
        <f t="shared" si="1"/>
        <v>1200</v>
      </c>
      <c r="M24" s="43">
        <f t="shared" si="1"/>
        <v>1200</v>
      </c>
      <c r="N24" s="43">
        <f t="shared" si="1"/>
        <v>1200</v>
      </c>
      <c r="O24" s="45">
        <f t="shared" si="2"/>
        <v>12000</v>
      </c>
    </row>
    <row r="25" spans="1:15">
      <c r="A25" s="102"/>
      <c r="B25" s="43" t="str">
        <f>Balances!C26</f>
        <v xml:space="preserve">Soporte para pantalla </v>
      </c>
      <c r="C25" s="43">
        <f>Balances!F26</f>
        <v>600</v>
      </c>
      <c r="D25" s="44">
        <f>Balances!G26</f>
        <v>10</v>
      </c>
      <c r="E25" s="43">
        <f t="shared" si="1"/>
        <v>60</v>
      </c>
      <c r="F25" s="43">
        <f t="shared" si="1"/>
        <v>60</v>
      </c>
      <c r="G25" s="43">
        <f t="shared" si="1"/>
        <v>60</v>
      </c>
      <c r="H25" s="43">
        <f t="shared" si="1"/>
        <v>60</v>
      </c>
      <c r="I25" s="43">
        <f t="shared" si="1"/>
        <v>60</v>
      </c>
      <c r="J25" s="43">
        <f t="shared" si="1"/>
        <v>60</v>
      </c>
      <c r="K25" s="43">
        <f t="shared" si="1"/>
        <v>60</v>
      </c>
      <c r="L25" s="43">
        <f t="shared" si="1"/>
        <v>60</v>
      </c>
      <c r="M25" s="43">
        <f t="shared" si="1"/>
        <v>60</v>
      </c>
      <c r="N25" s="43">
        <f t="shared" si="1"/>
        <v>60</v>
      </c>
      <c r="O25" s="45">
        <f t="shared" si="2"/>
        <v>600</v>
      </c>
    </row>
    <row r="26" spans="1:15">
      <c r="A26" s="103" t="s">
        <v>263</v>
      </c>
      <c r="B26" s="43" t="str">
        <f>Balances!L7</f>
        <v xml:space="preserve">Local o bodega </v>
      </c>
      <c r="C26" s="43">
        <f>Balances!P7</f>
        <v>2400000</v>
      </c>
      <c r="D26" s="44">
        <f>Balances!Q7</f>
        <v>10</v>
      </c>
      <c r="E26" s="43">
        <f t="shared" si="1"/>
        <v>240000</v>
      </c>
      <c r="F26" s="43">
        <f t="shared" si="1"/>
        <v>240000</v>
      </c>
      <c r="G26" s="43">
        <f t="shared" si="1"/>
        <v>240000</v>
      </c>
      <c r="H26" s="43">
        <f t="shared" si="1"/>
        <v>240000</v>
      </c>
      <c r="I26" s="43">
        <f t="shared" si="1"/>
        <v>240000</v>
      </c>
      <c r="J26" s="43">
        <f t="shared" si="1"/>
        <v>240000</v>
      </c>
      <c r="K26" s="43">
        <f t="shared" si="1"/>
        <v>240000</v>
      </c>
      <c r="L26" s="43">
        <f t="shared" si="1"/>
        <v>240000</v>
      </c>
      <c r="M26" s="43">
        <f t="shared" si="1"/>
        <v>240000</v>
      </c>
      <c r="N26" s="43">
        <f t="shared" si="1"/>
        <v>240000</v>
      </c>
      <c r="O26" s="45">
        <f t="shared" si="2"/>
        <v>2400000</v>
      </c>
    </row>
    <row r="27" spans="1:15">
      <c r="A27" s="103"/>
      <c r="B27" s="43" t="str">
        <f>Balances!L8</f>
        <v>Baños</v>
      </c>
      <c r="C27" s="43">
        <f>Balances!P8</f>
        <v>90000</v>
      </c>
      <c r="D27" s="44">
        <f>Balances!Q8</f>
        <v>10</v>
      </c>
      <c r="E27" s="43">
        <f t="shared" si="1"/>
        <v>9000</v>
      </c>
      <c r="F27" s="43">
        <f t="shared" si="1"/>
        <v>9000</v>
      </c>
      <c r="G27" s="43">
        <f t="shared" si="1"/>
        <v>9000</v>
      </c>
      <c r="H27" s="43">
        <f t="shared" si="1"/>
        <v>9000</v>
      </c>
      <c r="I27" s="43">
        <f t="shared" si="1"/>
        <v>9000</v>
      </c>
      <c r="J27" s="43">
        <f t="shared" si="1"/>
        <v>9000</v>
      </c>
      <c r="K27" s="43">
        <f t="shared" si="1"/>
        <v>9000</v>
      </c>
      <c r="L27" s="43">
        <f t="shared" si="1"/>
        <v>9000</v>
      </c>
      <c r="M27" s="43">
        <f t="shared" si="1"/>
        <v>9000</v>
      </c>
      <c r="N27" s="43">
        <f t="shared" si="1"/>
        <v>9000</v>
      </c>
      <c r="O27" s="45">
        <f t="shared" si="2"/>
        <v>90000</v>
      </c>
    </row>
    <row r="28" spans="1:15">
      <c r="A28" s="103"/>
      <c r="B28" s="43" t="str">
        <f>Balances!L9</f>
        <v xml:space="preserve">Cocina </v>
      </c>
      <c r="C28" s="43">
        <f>Balances!P9</f>
        <v>80000</v>
      </c>
      <c r="D28" s="44">
        <f>Balances!Q9</f>
        <v>10</v>
      </c>
      <c r="E28" s="43">
        <f t="shared" si="1"/>
        <v>8000</v>
      </c>
      <c r="F28" s="43">
        <f t="shared" si="1"/>
        <v>8000</v>
      </c>
      <c r="G28" s="43">
        <f t="shared" si="1"/>
        <v>8000</v>
      </c>
      <c r="H28" s="43">
        <f t="shared" si="1"/>
        <v>8000</v>
      </c>
      <c r="I28" s="43">
        <f t="shared" si="1"/>
        <v>8000</v>
      </c>
      <c r="J28" s="43">
        <f t="shared" si="1"/>
        <v>8000</v>
      </c>
      <c r="K28" s="43">
        <f t="shared" si="1"/>
        <v>8000</v>
      </c>
      <c r="L28" s="43">
        <f t="shared" si="1"/>
        <v>8000</v>
      </c>
      <c r="M28" s="43">
        <f t="shared" si="1"/>
        <v>8000</v>
      </c>
      <c r="N28" s="43">
        <f t="shared" si="1"/>
        <v>8000</v>
      </c>
      <c r="O28" s="45">
        <f t="shared" si="2"/>
        <v>80000</v>
      </c>
    </row>
    <row r="29" spans="1:15">
      <c r="A29" s="103"/>
      <c r="B29" s="43" t="str">
        <f>Balances!L10</f>
        <v xml:space="preserve">Almacén </v>
      </c>
      <c r="C29" s="43">
        <f>Balances!P10</f>
        <v>1200000</v>
      </c>
      <c r="D29" s="44">
        <f>Balances!Q10</f>
        <v>10</v>
      </c>
      <c r="E29" s="43">
        <f t="shared" si="1"/>
        <v>120000</v>
      </c>
      <c r="F29" s="43">
        <f t="shared" si="1"/>
        <v>120000</v>
      </c>
      <c r="G29" s="43">
        <f t="shared" si="1"/>
        <v>120000</v>
      </c>
      <c r="H29" s="43">
        <f t="shared" si="1"/>
        <v>120000</v>
      </c>
      <c r="I29" s="43">
        <f t="shared" si="1"/>
        <v>120000</v>
      </c>
      <c r="J29" s="43">
        <f t="shared" si="1"/>
        <v>120000</v>
      </c>
      <c r="K29" s="43">
        <f t="shared" si="1"/>
        <v>120000</v>
      </c>
      <c r="L29" s="43">
        <f t="shared" si="1"/>
        <v>120000</v>
      </c>
      <c r="M29" s="43">
        <f t="shared" si="1"/>
        <v>120000</v>
      </c>
      <c r="N29" s="43">
        <f t="shared" si="1"/>
        <v>120000</v>
      </c>
      <c r="O29" s="45">
        <f t="shared" si="2"/>
        <v>1200000</v>
      </c>
    </row>
    <row r="30" spans="1:15">
      <c r="A30" s="103"/>
      <c r="B30" s="43" t="str">
        <f>Balances!L11</f>
        <v xml:space="preserve">Terreno </v>
      </c>
      <c r="C30" s="43">
        <f>Balances!P11</f>
        <v>2000000</v>
      </c>
      <c r="D30" s="44">
        <f>Balances!Q11</f>
        <v>10</v>
      </c>
      <c r="E30" s="43">
        <f t="shared" si="1"/>
        <v>200000</v>
      </c>
      <c r="F30" s="43">
        <f t="shared" si="1"/>
        <v>200000</v>
      </c>
      <c r="G30" s="43">
        <f t="shared" si="1"/>
        <v>200000</v>
      </c>
      <c r="H30" s="43">
        <f t="shared" si="1"/>
        <v>200000</v>
      </c>
      <c r="I30" s="43">
        <f t="shared" si="1"/>
        <v>200000</v>
      </c>
      <c r="J30" s="43">
        <f t="shared" si="1"/>
        <v>200000</v>
      </c>
      <c r="K30" s="43">
        <f t="shared" si="1"/>
        <v>200000</v>
      </c>
      <c r="L30" s="43">
        <f t="shared" si="1"/>
        <v>200000</v>
      </c>
      <c r="M30" s="43">
        <f t="shared" si="1"/>
        <v>200000</v>
      </c>
      <c r="N30" s="43">
        <f t="shared" si="1"/>
        <v>200000</v>
      </c>
      <c r="O30" s="45">
        <f t="shared" si="2"/>
        <v>2000000</v>
      </c>
    </row>
    <row r="31" spans="1:15">
      <c r="B31" s="47" t="s">
        <v>264</v>
      </c>
      <c r="C31" s="48">
        <f>SUM(C6:C30)</f>
        <v>7266800</v>
      </c>
      <c r="D31" s="49" t="s">
        <v>265</v>
      </c>
      <c r="E31" s="70">
        <f t="shared" ref="E31:O31" si="3">SUM(E6:E30)</f>
        <v>731980</v>
      </c>
      <c r="F31" s="70">
        <f t="shared" si="3"/>
        <v>731980</v>
      </c>
      <c r="G31" s="70">
        <f t="shared" si="3"/>
        <v>731980</v>
      </c>
      <c r="H31" s="70">
        <f t="shared" si="3"/>
        <v>731980</v>
      </c>
      <c r="I31" s="70">
        <f t="shared" si="3"/>
        <v>731980</v>
      </c>
      <c r="J31" s="70">
        <f t="shared" si="3"/>
        <v>731980</v>
      </c>
      <c r="K31" s="70">
        <f t="shared" si="3"/>
        <v>731980</v>
      </c>
      <c r="L31" s="70">
        <f t="shared" si="3"/>
        <v>731980</v>
      </c>
      <c r="M31" s="70">
        <f t="shared" si="3"/>
        <v>731980</v>
      </c>
      <c r="N31" s="70">
        <f t="shared" si="3"/>
        <v>731980</v>
      </c>
      <c r="O31" s="45">
        <f t="shared" si="3"/>
        <v>7319800</v>
      </c>
    </row>
  </sheetData>
  <mergeCells count="8">
    <mergeCell ref="A6:A25"/>
    <mergeCell ref="A26:A30"/>
    <mergeCell ref="B3:O3"/>
    <mergeCell ref="B4:B5"/>
    <mergeCell ref="C4:C5"/>
    <mergeCell ref="D4:D5"/>
    <mergeCell ref="E4:N4"/>
    <mergeCell ref="O4:O5"/>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EBD5A-4F12-474C-95A3-0698FA8D65E4}">
  <dimension ref="A1:Q59"/>
  <sheetViews>
    <sheetView zoomScaleNormal="100" workbookViewId="0">
      <selection activeCell="B35" sqref="B35"/>
    </sheetView>
  </sheetViews>
  <sheetFormatPr defaultColWidth="11.42578125" defaultRowHeight="14.45"/>
  <cols>
    <col min="1" max="1" width="36.28515625" style="2" bestFit="1" customWidth="1"/>
    <col min="2" max="3" width="16.140625" style="2" bestFit="1" customWidth="1"/>
    <col min="4" max="4" width="16.7109375" style="2" bestFit="1" customWidth="1"/>
    <col min="5" max="11" width="17.42578125" style="2" bestFit="1" customWidth="1"/>
    <col min="12" max="12" width="21.140625" style="2" bestFit="1" customWidth="1"/>
    <col min="13" max="13" width="17" style="2" bestFit="1" customWidth="1"/>
    <col min="14" max="14" width="14" style="2" bestFit="1" customWidth="1"/>
    <col min="15" max="15" width="15.7109375" style="2" bestFit="1" customWidth="1"/>
    <col min="16" max="16" width="15.28515625" style="2" bestFit="1" customWidth="1"/>
    <col min="17" max="16384" width="11.42578125" style="2"/>
  </cols>
  <sheetData>
    <row r="1" spans="1:12" ht="25.9">
      <c r="A1" s="2" t="s">
        <v>266</v>
      </c>
      <c r="B1" s="41" t="s">
        <v>267</v>
      </c>
    </row>
    <row r="3" spans="1:12">
      <c r="A3" s="109" t="s">
        <v>268</v>
      </c>
      <c r="B3" s="109"/>
      <c r="C3" s="109"/>
      <c r="D3" s="109"/>
      <c r="E3" s="109"/>
      <c r="F3" s="109"/>
      <c r="G3" s="109"/>
      <c r="H3" s="109"/>
      <c r="I3" s="109"/>
      <c r="J3" s="109"/>
      <c r="K3" s="109"/>
      <c r="L3" s="109"/>
    </row>
    <row r="4" spans="1:12">
      <c r="A4" s="53" t="s">
        <v>269</v>
      </c>
      <c r="B4" s="53" t="s">
        <v>270</v>
      </c>
      <c r="C4" s="53" t="s">
        <v>271</v>
      </c>
      <c r="D4" s="53" t="s">
        <v>272</v>
      </c>
      <c r="E4" s="53" t="s">
        <v>198</v>
      </c>
      <c r="F4" s="53" t="s">
        <v>273</v>
      </c>
      <c r="G4" s="53" t="s">
        <v>274</v>
      </c>
      <c r="H4" s="53" t="s">
        <v>275</v>
      </c>
      <c r="I4" s="53" t="s">
        <v>276</v>
      </c>
      <c r="J4" s="53" t="s">
        <v>277</v>
      </c>
      <c r="K4" s="53" t="s">
        <v>278</v>
      </c>
      <c r="L4" s="53" t="s">
        <v>279</v>
      </c>
    </row>
    <row r="5" spans="1:12">
      <c r="A5" s="50" t="s">
        <v>280</v>
      </c>
      <c r="B5" s="54"/>
      <c r="C5" s="54">
        <f>CT!N11</f>
        <v>7104000</v>
      </c>
      <c r="D5" s="54">
        <f>CT!AB11</f>
        <v>7829318.4000000013</v>
      </c>
      <c r="E5" s="54">
        <f>CT!AP11</f>
        <v>8714031.3792000022</v>
      </c>
      <c r="F5" s="54">
        <f>CT!BD11</f>
        <v>9698716.9250495993</v>
      </c>
      <c r="G5" s="54">
        <f>CT!BR11</f>
        <v>10794671.937580211</v>
      </c>
      <c r="H5" s="54">
        <f>CT!CF11</f>
        <v>12014469.866526775</v>
      </c>
      <c r="I5" s="54">
        <f>CT!CT11</f>
        <v>13372104.961444302</v>
      </c>
      <c r="J5" s="54">
        <f>CT!DH11</f>
        <v>14883152.822087506</v>
      </c>
      <c r="K5" s="54">
        <f>CT!DV11</f>
        <v>16564949.090983389</v>
      </c>
      <c r="L5" s="54">
        <f>CT!EJ11</f>
        <v>18436788.338264514</v>
      </c>
    </row>
    <row r="6" spans="1:12">
      <c r="A6" s="50" t="s">
        <v>281</v>
      </c>
      <c r="B6" s="54"/>
      <c r="C6" s="54">
        <f>CT!N14</f>
        <v>4351080</v>
      </c>
      <c r="D6" s="54">
        <f>CT!AB14</f>
        <v>4764355.1880000001</v>
      </c>
      <c r="E6" s="54">
        <f>CT!AP14</f>
        <v>5248013.5162440008</v>
      </c>
      <c r="F6" s="54">
        <f>CT!BD14</f>
        <v>5783042.4070995739</v>
      </c>
      <c r="G6" s="54">
        <f>CT!BR14</f>
        <v>6375049.7644330226</v>
      </c>
      <c r="H6" s="54">
        <f>CT!CF14</f>
        <v>7030265.3670650311</v>
      </c>
      <c r="I6" s="54">
        <f>CT!CT14</f>
        <v>7755610.4315495128</v>
      </c>
      <c r="J6" s="54">
        <f>CT!DH14</f>
        <v>8558774.9930011146</v>
      </c>
      <c r="K6" s="54">
        <f>CT!DV14</f>
        <v>9448303.9848579392</v>
      </c>
      <c r="L6" s="54">
        <f>CT!EJ14</f>
        <v>10433692.997853441</v>
      </c>
    </row>
    <row r="7" spans="1:12">
      <c r="A7" s="50" t="s">
        <v>282</v>
      </c>
      <c r="B7" s="54"/>
      <c r="C7" s="54">
        <f>C5-C6</f>
        <v>2752920</v>
      </c>
      <c r="D7" s="54">
        <f t="shared" ref="D7:L7" si="0">D5-D6</f>
        <v>3064963.2120000012</v>
      </c>
      <c r="E7" s="54">
        <f t="shared" si="0"/>
        <v>3466017.8629560014</v>
      </c>
      <c r="F7" s="54">
        <f t="shared" si="0"/>
        <v>3915674.5179500254</v>
      </c>
      <c r="G7" s="54">
        <f t="shared" si="0"/>
        <v>4419622.1731471885</v>
      </c>
      <c r="H7" s="54">
        <f t="shared" si="0"/>
        <v>4984204.499461744</v>
      </c>
      <c r="I7" s="54">
        <f t="shared" si="0"/>
        <v>5616494.5298947887</v>
      </c>
      <c r="J7" s="54">
        <f t="shared" si="0"/>
        <v>6324377.8290863913</v>
      </c>
      <c r="K7" s="54">
        <f t="shared" si="0"/>
        <v>7116645.1061254498</v>
      </c>
      <c r="L7" s="54">
        <f t="shared" si="0"/>
        <v>8003095.3404110726</v>
      </c>
    </row>
    <row r="8" spans="1:12">
      <c r="A8" s="50" t="s">
        <v>283</v>
      </c>
      <c r="B8" s="54"/>
      <c r="C8" s="54">
        <f>CT!N42</f>
        <v>466800</v>
      </c>
      <c r="D8" s="54">
        <f>CT!AB42</f>
        <v>499476</v>
      </c>
      <c r="E8" s="54">
        <f>CT!AP42</f>
        <v>529444.55999999994</v>
      </c>
      <c r="F8" s="54">
        <f>CT!BD42</f>
        <v>561211.23360000004</v>
      </c>
      <c r="G8" s="54">
        <f>CT!BR42</f>
        <v>594883.90761600027</v>
      </c>
      <c r="H8" s="54">
        <f>CT!CF42</f>
        <v>630576.94207296008</v>
      </c>
      <c r="I8" s="54">
        <f>CT!CT42</f>
        <v>668411.55859733792</v>
      </c>
      <c r="J8" s="54">
        <f>CT!DH42</f>
        <v>708516.25211317791</v>
      </c>
      <c r="K8" s="54">
        <f>CT!DV42</f>
        <v>751027.22723996872</v>
      </c>
      <c r="L8" s="54">
        <f>CT!EJ42</f>
        <v>796088.8608743673</v>
      </c>
    </row>
    <row r="9" spans="1:12">
      <c r="A9" s="50" t="s">
        <v>284</v>
      </c>
      <c r="B9" s="54"/>
      <c r="C9" s="54">
        <f>CT!N49</f>
        <v>300000</v>
      </c>
      <c r="D9" s="54">
        <f>CT!AB49</f>
        <v>324852</v>
      </c>
      <c r="E9" s="54">
        <f>CT!AP49</f>
        <v>351352.4760000002</v>
      </c>
      <c r="F9" s="54">
        <f>CT!BD49</f>
        <v>380235.03778800002</v>
      </c>
      <c r="G9" s="54">
        <f>CT!BR49</f>
        <v>411732.11297804402</v>
      </c>
      <c r="H9" s="54">
        <f>CT!CF49</f>
        <v>446100.18861976295</v>
      </c>
      <c r="I9" s="54">
        <f>CT!CT49</f>
        <v>483622.39762150828</v>
      </c>
      <c r="J9" s="54">
        <f>CT!DH49</f>
        <v>524611.38950171357</v>
      </c>
      <c r="K9" s="54">
        <f>CT!DV49</f>
        <v>569412.51712132047</v>
      </c>
      <c r="L9" s="54">
        <f>CT!EJ49</f>
        <v>618407.37459829764</v>
      </c>
    </row>
    <row r="10" spans="1:12">
      <c r="A10" s="50" t="s">
        <v>285</v>
      </c>
      <c r="B10" s="54"/>
      <c r="C10" s="54">
        <f>CT!N10</f>
        <v>0</v>
      </c>
      <c r="D10" s="54">
        <f>CT!AB10</f>
        <v>0</v>
      </c>
      <c r="E10" s="54">
        <f>CT!AP10</f>
        <v>0</v>
      </c>
      <c r="F10" s="54">
        <f>CT!BD10</f>
        <v>0</v>
      </c>
      <c r="G10" s="54">
        <f>CT!BR10</f>
        <v>0</v>
      </c>
      <c r="H10" s="54">
        <f>CT!CF10</f>
        <v>0</v>
      </c>
      <c r="I10" s="54">
        <f>CT!CT10</f>
        <v>0</v>
      </c>
      <c r="J10" s="54">
        <f>CT!DH10</f>
        <v>0</v>
      </c>
      <c r="K10" s="54">
        <f>CT!DV10</f>
        <v>0</v>
      </c>
      <c r="L10" s="54">
        <f>CT!EJ10</f>
        <v>0</v>
      </c>
    </row>
    <row r="11" spans="1:12">
      <c r="A11" s="50" t="s">
        <v>286</v>
      </c>
      <c r="B11" s="54"/>
      <c r="C11" s="54">
        <f t="shared" ref="C11:L11" si="1">C7-C8-C9+C10</f>
        <v>1986120</v>
      </c>
      <c r="D11" s="54">
        <f t="shared" si="1"/>
        <v>2240635.2120000012</v>
      </c>
      <c r="E11" s="54">
        <f t="shared" si="1"/>
        <v>2585220.8269560011</v>
      </c>
      <c r="F11" s="54">
        <f t="shared" si="1"/>
        <v>2974228.2465620255</v>
      </c>
      <c r="G11" s="54">
        <f t="shared" si="1"/>
        <v>3413006.1525531444</v>
      </c>
      <c r="H11" s="54">
        <f t="shared" si="1"/>
        <v>3907527.3687690212</v>
      </c>
      <c r="I11" s="54">
        <f t="shared" si="1"/>
        <v>4464460.5736759417</v>
      </c>
      <c r="J11" s="54">
        <f t="shared" si="1"/>
        <v>5091250.1874714997</v>
      </c>
      <c r="K11" s="54">
        <f t="shared" si="1"/>
        <v>5796205.3617641609</v>
      </c>
      <c r="L11" s="54">
        <f t="shared" si="1"/>
        <v>6588599.1049384084</v>
      </c>
    </row>
    <row r="12" spans="1:12">
      <c r="A12" s="50" t="s">
        <v>287</v>
      </c>
      <c r="B12" s="54"/>
      <c r="C12" s="54">
        <f>CT!N52</f>
        <v>0</v>
      </c>
      <c r="D12" s="54">
        <f>CT!AB52</f>
        <v>0</v>
      </c>
      <c r="E12" s="54">
        <f>CT!AP52</f>
        <v>0</v>
      </c>
      <c r="F12" s="54">
        <f>CT!BD52</f>
        <v>0</v>
      </c>
      <c r="G12" s="54">
        <f>CT!BR52</f>
        <v>0</v>
      </c>
      <c r="H12" s="54">
        <f>CT!CF52</f>
        <v>0</v>
      </c>
      <c r="I12" s="54">
        <f>CT!CT52</f>
        <v>0</v>
      </c>
      <c r="J12" s="54">
        <f>CT!DH52</f>
        <v>0</v>
      </c>
      <c r="K12" s="54">
        <f>CT!DV52</f>
        <v>0</v>
      </c>
      <c r="L12" s="54">
        <f>CT!EJ52</f>
        <v>0</v>
      </c>
    </row>
    <row r="13" spans="1:12">
      <c r="A13" s="50" t="s">
        <v>288</v>
      </c>
      <c r="B13" s="54"/>
      <c r="C13" s="54">
        <f>PD!E31</f>
        <v>731980</v>
      </c>
      <c r="D13" s="54">
        <f>PD!F31</f>
        <v>731980</v>
      </c>
      <c r="E13" s="54">
        <f>PD!G31</f>
        <v>731980</v>
      </c>
      <c r="F13" s="54">
        <f>PD!H31</f>
        <v>731980</v>
      </c>
      <c r="G13" s="54">
        <f>PD!I31</f>
        <v>731980</v>
      </c>
      <c r="H13" s="54">
        <f>PD!J31</f>
        <v>731980</v>
      </c>
      <c r="I13" s="54">
        <f>PD!K31</f>
        <v>731980</v>
      </c>
      <c r="J13" s="54">
        <f>PD!L31</f>
        <v>731980</v>
      </c>
      <c r="K13" s="54">
        <f>PD!M31</f>
        <v>731980</v>
      </c>
      <c r="L13" s="54">
        <f>PD!N31</f>
        <v>731980</v>
      </c>
    </row>
    <row r="14" spans="1:12">
      <c r="A14" s="50" t="s">
        <v>289</v>
      </c>
      <c r="B14" s="54"/>
      <c r="C14" s="54">
        <f>C11-C12-C13</f>
        <v>1254140</v>
      </c>
      <c r="D14" s="54">
        <f t="shared" ref="D14:L14" si="2">D11-D12-D13</f>
        <v>1508655.2120000012</v>
      </c>
      <c r="E14" s="54">
        <f t="shared" si="2"/>
        <v>1853240.8269560011</v>
      </c>
      <c r="F14" s="54">
        <f t="shared" si="2"/>
        <v>2242248.2465620255</v>
      </c>
      <c r="G14" s="54">
        <f t="shared" si="2"/>
        <v>2681026.1525531444</v>
      </c>
      <c r="H14" s="54">
        <f t="shared" si="2"/>
        <v>3175547.3687690212</v>
      </c>
      <c r="I14" s="54">
        <f t="shared" si="2"/>
        <v>3732480.5736759417</v>
      </c>
      <c r="J14" s="54">
        <f t="shared" si="2"/>
        <v>4359270.1874714997</v>
      </c>
      <c r="K14" s="54">
        <f t="shared" si="2"/>
        <v>5064225.3617641609</v>
      </c>
      <c r="L14" s="54">
        <f t="shared" si="2"/>
        <v>5856619.1049384084</v>
      </c>
    </row>
    <row r="15" spans="1:12">
      <c r="A15" s="50" t="s">
        <v>290</v>
      </c>
      <c r="B15" s="54"/>
      <c r="C15" s="54">
        <f>$B$23*C14</f>
        <v>501656</v>
      </c>
      <c r="D15" s="54">
        <f t="shared" ref="D15:L15" si="3">$B$23*D14</f>
        <v>603462.08480000054</v>
      </c>
      <c r="E15" s="54">
        <f t="shared" si="3"/>
        <v>741296.33078240044</v>
      </c>
      <c r="F15" s="54">
        <f t="shared" si="3"/>
        <v>896899.2986248103</v>
      </c>
      <c r="G15" s="54">
        <f t="shared" si="3"/>
        <v>1072410.4610212578</v>
      </c>
      <c r="H15" s="54">
        <f t="shared" si="3"/>
        <v>1270218.9475076087</v>
      </c>
      <c r="I15" s="54">
        <f t="shared" si="3"/>
        <v>1492992.2294703769</v>
      </c>
      <c r="J15" s="54">
        <f t="shared" si="3"/>
        <v>1743708.0749885999</v>
      </c>
      <c r="K15" s="54">
        <f t="shared" si="3"/>
        <v>2025690.1447056644</v>
      </c>
      <c r="L15" s="54">
        <f t="shared" si="3"/>
        <v>2342647.6419753633</v>
      </c>
    </row>
    <row r="16" spans="1:12">
      <c r="A16" s="50" t="s">
        <v>288</v>
      </c>
      <c r="B16" s="54"/>
      <c r="C16" s="54">
        <f>C13</f>
        <v>731980</v>
      </c>
      <c r="D16" s="54">
        <f t="shared" ref="D16:L16" si="4">D13</f>
        <v>731980</v>
      </c>
      <c r="E16" s="54">
        <f t="shared" si="4"/>
        <v>731980</v>
      </c>
      <c r="F16" s="54">
        <f t="shared" si="4"/>
        <v>731980</v>
      </c>
      <c r="G16" s="54">
        <f t="shared" si="4"/>
        <v>731980</v>
      </c>
      <c r="H16" s="54">
        <f t="shared" si="4"/>
        <v>731980</v>
      </c>
      <c r="I16" s="54">
        <f t="shared" si="4"/>
        <v>731980</v>
      </c>
      <c r="J16" s="54">
        <f t="shared" si="4"/>
        <v>731980</v>
      </c>
      <c r="K16" s="54">
        <f t="shared" si="4"/>
        <v>731980</v>
      </c>
      <c r="L16" s="54">
        <f t="shared" si="4"/>
        <v>731980</v>
      </c>
    </row>
    <row r="17" spans="1:14">
      <c r="A17" s="50" t="s">
        <v>291</v>
      </c>
      <c r="B17" s="54"/>
      <c r="C17" s="54">
        <f>C14-C15+C16</f>
        <v>1484464</v>
      </c>
      <c r="D17" s="54">
        <f t="shared" ref="D17:L17" si="5">D14-D15+D16</f>
        <v>1637173.1272000007</v>
      </c>
      <c r="E17" s="54">
        <f t="shared" si="5"/>
        <v>1843924.4961736007</v>
      </c>
      <c r="F17" s="54">
        <f t="shared" si="5"/>
        <v>2077328.9479372152</v>
      </c>
      <c r="G17" s="54">
        <f t="shared" si="5"/>
        <v>2340595.6915318863</v>
      </c>
      <c r="H17" s="54">
        <f t="shared" si="5"/>
        <v>2637308.4212614126</v>
      </c>
      <c r="I17" s="54">
        <f t="shared" si="5"/>
        <v>2971468.3442055648</v>
      </c>
      <c r="J17" s="54">
        <f t="shared" si="5"/>
        <v>3347542.1124828998</v>
      </c>
      <c r="K17" s="54">
        <f t="shared" si="5"/>
        <v>3770515.2170584965</v>
      </c>
      <c r="L17" s="54">
        <f t="shared" si="5"/>
        <v>4245951.4629630446</v>
      </c>
    </row>
    <row r="18" spans="1:14">
      <c r="A18" s="50" t="s">
        <v>262</v>
      </c>
      <c r="B18" s="54">
        <f>-Balances!F27</f>
        <v>-1496800</v>
      </c>
      <c r="C18" s="54"/>
      <c r="D18" s="54"/>
      <c r="E18" s="54"/>
      <c r="F18" s="54"/>
      <c r="G18" s="54"/>
      <c r="H18" s="54"/>
      <c r="I18" s="54"/>
      <c r="J18" s="54"/>
      <c r="K18" s="54"/>
      <c r="L18" s="54"/>
    </row>
    <row r="19" spans="1:14">
      <c r="A19" s="50" t="s">
        <v>263</v>
      </c>
      <c r="B19" s="54">
        <f>-Balances!P12</f>
        <v>-5770000</v>
      </c>
      <c r="C19" s="54"/>
      <c r="D19" s="54"/>
      <c r="E19" s="54"/>
      <c r="F19" s="54"/>
      <c r="G19" s="54"/>
      <c r="H19" s="54"/>
      <c r="I19" s="54"/>
      <c r="J19" s="54"/>
      <c r="K19" s="54"/>
      <c r="L19" s="54"/>
    </row>
    <row r="20" spans="1:14">
      <c r="A20" s="50" t="s">
        <v>292</v>
      </c>
      <c r="B20" s="54"/>
      <c r="C20" s="54"/>
      <c r="D20" s="54"/>
      <c r="E20" s="54"/>
      <c r="F20" s="54"/>
      <c r="G20" s="54"/>
      <c r="H20" s="54"/>
      <c r="I20" s="54"/>
      <c r="J20" s="54"/>
      <c r="K20" s="54"/>
      <c r="L20" s="55"/>
    </row>
    <row r="21" spans="1:14">
      <c r="A21" s="50" t="s">
        <v>293</v>
      </c>
      <c r="B21" s="54">
        <f>SUM(B17:B20)</f>
        <v>-7266800</v>
      </c>
      <c r="C21" s="54">
        <f t="shared" ref="C21:L21" si="6">SUM(C17:C20)</f>
        <v>1484464</v>
      </c>
      <c r="D21" s="54">
        <f t="shared" si="6"/>
        <v>1637173.1272000007</v>
      </c>
      <c r="E21" s="54">
        <f t="shared" si="6"/>
        <v>1843924.4961736007</v>
      </c>
      <c r="F21" s="54">
        <f t="shared" si="6"/>
        <v>2077328.9479372152</v>
      </c>
      <c r="G21" s="54">
        <f t="shared" si="6"/>
        <v>2340595.6915318863</v>
      </c>
      <c r="H21" s="54">
        <f t="shared" si="6"/>
        <v>2637308.4212614126</v>
      </c>
      <c r="I21" s="54">
        <f t="shared" si="6"/>
        <v>2971468.3442055648</v>
      </c>
      <c r="J21" s="54">
        <f t="shared" si="6"/>
        <v>3347542.1124828998</v>
      </c>
      <c r="K21" s="54">
        <f t="shared" si="6"/>
        <v>3770515.2170584965</v>
      </c>
      <c r="L21" s="54">
        <f t="shared" si="6"/>
        <v>4245951.4629630446</v>
      </c>
      <c r="M21" s="46"/>
    </row>
    <row r="22" spans="1:14">
      <c r="B22" s="2" t="s">
        <v>294</v>
      </c>
    </row>
    <row r="23" spans="1:14">
      <c r="A23" s="2" t="s">
        <v>295</v>
      </c>
      <c r="B23" s="56">
        <v>0.4</v>
      </c>
    </row>
    <row r="26" spans="1:14">
      <c r="A26" s="109" t="s">
        <v>296</v>
      </c>
      <c r="B26" s="109"/>
      <c r="C26" s="109"/>
      <c r="D26" s="109"/>
      <c r="E26" s="109"/>
      <c r="F26" s="109"/>
      <c r="G26" s="109"/>
      <c r="H26" s="109"/>
      <c r="I26" s="109"/>
      <c r="J26" s="109"/>
      <c r="K26" s="109"/>
      <c r="L26" s="109"/>
    </row>
    <row r="27" spans="1:14">
      <c r="A27" s="110" t="s">
        <v>269</v>
      </c>
      <c r="B27" s="53" t="s">
        <v>297</v>
      </c>
      <c r="C27" s="53" t="s">
        <v>297</v>
      </c>
      <c r="D27" s="53" t="s">
        <v>297</v>
      </c>
      <c r="E27" s="53" t="s">
        <v>297</v>
      </c>
      <c r="F27" s="53" t="s">
        <v>297</v>
      </c>
      <c r="G27" s="53" t="s">
        <v>297</v>
      </c>
      <c r="H27" s="53" t="s">
        <v>297</v>
      </c>
      <c r="I27" s="53" t="s">
        <v>297</v>
      </c>
      <c r="J27" s="53" t="s">
        <v>297</v>
      </c>
      <c r="K27" s="53" t="s">
        <v>297</v>
      </c>
      <c r="L27" s="53" t="s">
        <v>297</v>
      </c>
    </row>
    <row r="28" spans="1:14">
      <c r="A28" s="110"/>
      <c r="B28" s="53">
        <v>0</v>
      </c>
      <c r="C28" s="53">
        <v>1</v>
      </c>
      <c r="D28" s="53">
        <v>2</v>
      </c>
      <c r="E28" s="53">
        <v>3</v>
      </c>
      <c r="F28" s="53">
        <v>4</v>
      </c>
      <c r="G28" s="53">
        <v>5</v>
      </c>
      <c r="H28" s="53">
        <v>6</v>
      </c>
      <c r="I28" s="53">
        <v>7</v>
      </c>
      <c r="J28" s="53">
        <v>8</v>
      </c>
      <c r="K28" s="53">
        <v>9</v>
      </c>
      <c r="L28" s="53">
        <v>10</v>
      </c>
    </row>
    <row r="29" spans="1:14">
      <c r="A29" s="50" t="s">
        <v>298</v>
      </c>
      <c r="B29" s="46">
        <f>B21</f>
        <v>-7266800</v>
      </c>
      <c r="C29" s="46">
        <f t="shared" ref="C29:L29" si="7">C21</f>
        <v>1484464</v>
      </c>
      <c r="D29" s="46">
        <f t="shared" si="7"/>
        <v>1637173.1272000007</v>
      </c>
      <c r="E29" s="46">
        <f t="shared" si="7"/>
        <v>1843924.4961736007</v>
      </c>
      <c r="F29" s="46">
        <f t="shared" si="7"/>
        <v>2077328.9479372152</v>
      </c>
      <c r="G29" s="46">
        <f t="shared" si="7"/>
        <v>2340595.6915318863</v>
      </c>
      <c r="H29" s="46">
        <f t="shared" si="7"/>
        <v>2637308.4212614126</v>
      </c>
      <c r="I29" s="46">
        <f t="shared" si="7"/>
        <v>2971468.3442055648</v>
      </c>
      <c r="J29" s="46">
        <f t="shared" si="7"/>
        <v>3347542.1124828998</v>
      </c>
      <c r="K29" s="46">
        <f t="shared" si="7"/>
        <v>3770515.2170584965</v>
      </c>
      <c r="L29" s="46">
        <f t="shared" si="7"/>
        <v>4245951.4629630446</v>
      </c>
      <c r="M29" s="46">
        <f>SUM(C29:L29)</f>
        <v>26356271.820814118</v>
      </c>
    </row>
    <row r="30" spans="1:14">
      <c r="A30" s="50" t="s">
        <v>299</v>
      </c>
      <c r="C30" s="46">
        <f>C29-C31</f>
        <v>247410.66666666651</v>
      </c>
      <c r="D30" s="46">
        <f t="shared" ref="D30:L30" si="8">D29-D31</f>
        <v>500247.34442222235</v>
      </c>
      <c r="E30" s="46">
        <f t="shared" si="8"/>
        <v>776838.5608879521</v>
      </c>
      <c r="F30" s="46">
        <f t="shared" si="8"/>
        <v>1075530.6512853946</v>
      </c>
      <c r="G30" s="46">
        <f t="shared" si="8"/>
        <v>1399962.7779468624</v>
      </c>
      <c r="H30" s="46">
        <f t="shared" si="8"/>
        <v>1754079.1670988272</v>
      </c>
      <c r="I30" s="46">
        <f t="shared" si="8"/>
        <v>2142186.0640020194</v>
      </c>
      <c r="J30" s="46">
        <f t="shared" si="8"/>
        <v>2569010.8067031065</v>
      </c>
      <c r="K30" s="46">
        <f t="shared" si="8"/>
        <v>3039764.107547218</v>
      </c>
      <c r="L30" s="46">
        <f t="shared" si="8"/>
        <v>3560206.5970152048</v>
      </c>
      <c r="M30" s="46">
        <f>SUM(C30:L30)</f>
        <v>17065236.743575472</v>
      </c>
    </row>
    <row r="31" spans="1:14">
      <c r="A31" s="50" t="s">
        <v>300</v>
      </c>
      <c r="C31" s="60">
        <f>C29/POWER((1+$L$32),C28)</f>
        <v>1237053.3333333335</v>
      </c>
      <c r="D31" s="60">
        <f t="shared" ref="D31:L31" si="9">D29/POWER((1+$L$32),D28)</f>
        <v>1136925.7827777783</v>
      </c>
      <c r="E31" s="60">
        <f t="shared" si="9"/>
        <v>1067085.9352856486</v>
      </c>
      <c r="F31" s="60">
        <f t="shared" si="9"/>
        <v>1001798.2966518207</v>
      </c>
      <c r="G31" s="60">
        <f t="shared" si="9"/>
        <v>940632.91358502384</v>
      </c>
      <c r="H31" s="60">
        <f t="shared" si="9"/>
        <v>883229.25416258525</v>
      </c>
      <c r="I31" s="60">
        <f t="shared" si="9"/>
        <v>829282.2802035457</v>
      </c>
      <c r="J31" s="60">
        <f t="shared" si="9"/>
        <v>778531.30577979307</v>
      </c>
      <c r="K31" s="60">
        <f t="shared" si="9"/>
        <v>730751.1095112788</v>
      </c>
      <c r="L31" s="60">
        <f t="shared" si="9"/>
        <v>685744.8659478398</v>
      </c>
      <c r="M31" s="46">
        <f>SUM(C31:L31)</f>
        <v>9291035.0772386491</v>
      </c>
      <c r="N31" s="2" t="s">
        <v>301</v>
      </c>
    </row>
    <row r="32" spans="1:14">
      <c r="A32" s="61" t="s">
        <v>302</v>
      </c>
      <c r="B32" s="111" t="s">
        <v>303</v>
      </c>
      <c r="C32" s="111"/>
      <c r="D32" s="60">
        <f>NPV(L32,C29:L29)+B29</f>
        <v>2024235.0772386491</v>
      </c>
      <c r="E32" s="111" t="s">
        <v>304</v>
      </c>
      <c r="F32" s="111"/>
      <c r="G32" s="111"/>
      <c r="H32" s="62">
        <f>IRR(B29:L29)</f>
        <v>0.26350770701153103</v>
      </c>
      <c r="I32" s="111" t="s">
        <v>305</v>
      </c>
      <c r="J32" s="111"/>
      <c r="K32" s="111"/>
      <c r="L32" s="90">
        <v>0.2</v>
      </c>
      <c r="M32" s="2" t="s">
        <v>306</v>
      </c>
      <c r="N32" s="2" t="s">
        <v>307</v>
      </c>
    </row>
    <row r="33" spans="1:17">
      <c r="D33" s="60"/>
    </row>
    <row r="34" spans="1:17">
      <c r="M34" s="108" t="s">
        <v>302</v>
      </c>
      <c r="N34" s="108"/>
      <c r="O34" s="69" t="s">
        <v>308</v>
      </c>
      <c r="P34" s="69" t="s">
        <v>309</v>
      </c>
      <c r="Q34" s="69" t="s">
        <v>310</v>
      </c>
    </row>
    <row r="35" spans="1:17">
      <c r="A35" s="63" t="s">
        <v>311</v>
      </c>
      <c r="B35" s="46">
        <f>-B29</f>
        <v>7266800</v>
      </c>
      <c r="C35" s="46">
        <f>C29</f>
        <v>1484464</v>
      </c>
      <c r="D35" s="46">
        <f t="shared" ref="D35:L35" si="10">D29</f>
        <v>1637173.1272000007</v>
      </c>
      <c r="E35" s="46">
        <f t="shared" si="10"/>
        <v>1843924.4961736007</v>
      </c>
      <c r="F35" s="46">
        <f t="shared" si="10"/>
        <v>2077328.9479372152</v>
      </c>
      <c r="G35" s="46">
        <f t="shared" si="10"/>
        <v>2340595.6915318863</v>
      </c>
      <c r="H35" s="46">
        <f t="shared" si="10"/>
        <v>2637308.4212614126</v>
      </c>
      <c r="I35" s="46">
        <f t="shared" si="10"/>
        <v>2971468.3442055648</v>
      </c>
      <c r="J35" s="46">
        <f t="shared" si="10"/>
        <v>3347542.1124828998</v>
      </c>
      <c r="K35" s="46">
        <f t="shared" si="10"/>
        <v>3770515.2170584965</v>
      </c>
      <c r="L35" s="46">
        <f t="shared" si="10"/>
        <v>4245951.4629630446</v>
      </c>
      <c r="M35" s="2" t="s">
        <v>312</v>
      </c>
      <c r="N35" s="2" t="s">
        <v>313</v>
      </c>
      <c r="O35" s="46">
        <f>AVERAGE(C35:L35)</f>
        <v>2635627.1820814116</v>
      </c>
      <c r="P35" s="46">
        <f>_xlfn.STDEV.P(C35:L35)</f>
        <v>885909.1903479005</v>
      </c>
      <c r="Q35" s="65">
        <f>O35/P35</f>
        <v>2.9750534375271456</v>
      </c>
    </row>
    <row r="36" spans="1:17">
      <c r="A36" s="63" t="s">
        <v>314</v>
      </c>
      <c r="B36" s="65"/>
      <c r="C36" s="23">
        <f>C35/$B$35</f>
        <v>0.20428028843507459</v>
      </c>
      <c r="D36" s="23">
        <f>D35/$B$35</f>
        <v>0.22529492035008541</v>
      </c>
      <c r="E36" s="23">
        <f t="shared" ref="E36:L36" si="11">E35/$B$35</f>
        <v>0.25374642155743943</v>
      </c>
      <c r="F36" s="23">
        <f t="shared" si="11"/>
        <v>0.28586571089574714</v>
      </c>
      <c r="G36" s="23">
        <f t="shared" si="11"/>
        <v>0.32209441453347915</v>
      </c>
      <c r="H36" s="23">
        <f t="shared" si="11"/>
        <v>0.36292569236271982</v>
      </c>
      <c r="I36" s="23">
        <f t="shared" si="11"/>
        <v>0.40891015910793815</v>
      </c>
      <c r="J36" s="23">
        <f t="shared" si="11"/>
        <v>0.46066248038791485</v>
      </c>
      <c r="K36" s="23">
        <f t="shared" si="11"/>
        <v>0.51886872035263065</v>
      </c>
      <c r="L36" s="23">
        <f t="shared" si="11"/>
        <v>0.58429452619626865</v>
      </c>
      <c r="M36" s="66">
        <f>L32</f>
        <v>0.2</v>
      </c>
      <c r="N36" s="67">
        <f>H32</f>
        <v>0.26350770701153103</v>
      </c>
      <c r="O36" s="23">
        <f>AVERAGE(C36:L36)</f>
        <v>0.36269433341792978</v>
      </c>
      <c r="P36" s="23">
        <f>_xlfn.STDEV.P(C36:L36)</f>
        <v>0.12191187184839258</v>
      </c>
      <c r="Q36" s="65">
        <f>O36/P36</f>
        <v>2.9750534375271505</v>
      </c>
    </row>
    <row r="37" spans="1:17">
      <c r="A37" s="63" t="s">
        <v>315</v>
      </c>
      <c r="B37" s="65"/>
      <c r="C37" s="65">
        <f>(C36-$O$36)/$P$36</f>
        <v>-1.299414426019609</v>
      </c>
      <c r="D37" s="65">
        <f t="shared" ref="D37:N37" si="12">(D36-$O$36)/$P$36</f>
        <v>-1.1270388271842122</v>
      </c>
      <c r="E37" s="65">
        <f t="shared" si="12"/>
        <v>-0.89366121780146257</v>
      </c>
      <c r="F37" s="65">
        <f t="shared" si="12"/>
        <v>-0.63019803861042623</v>
      </c>
      <c r="G37" s="65">
        <f t="shared" si="12"/>
        <v>-0.33302678622587278</v>
      </c>
      <c r="H37" s="65">
        <f t="shared" si="12"/>
        <v>1.8977556597420853E-3</v>
      </c>
      <c r="I37" s="65">
        <f t="shared" si="12"/>
        <v>0.37909208503894964</v>
      </c>
      <c r="J37" s="65">
        <f t="shared" si="12"/>
        <v>0.80359808675414734</v>
      </c>
      <c r="K37" s="65">
        <f t="shared" si="12"/>
        <v>1.2810433025662713</v>
      </c>
      <c r="L37" s="65">
        <f t="shared" si="12"/>
        <v>1.8177080658224729</v>
      </c>
      <c r="M37" s="65">
        <f t="shared" si="12"/>
        <v>-1.3345241193593806</v>
      </c>
      <c r="N37" s="65">
        <f t="shared" si="12"/>
        <v>-0.81359284294925316</v>
      </c>
      <c r="O37" s="65"/>
      <c r="P37" s="65"/>
    </row>
    <row r="38" spans="1:17">
      <c r="A38" s="2" t="s">
        <v>316</v>
      </c>
      <c r="C38" s="89">
        <f>_xlfn.NORM.S.DIST(C37,)</f>
        <v>0.17149906599597056</v>
      </c>
      <c r="D38" s="89">
        <f t="shared" ref="D38:L38" si="13">_xlfn.NORM.S.DIST(D37,)</f>
        <v>0.21139078598319525</v>
      </c>
      <c r="E38" s="89">
        <f t="shared" si="13"/>
        <v>0.26760220273764507</v>
      </c>
      <c r="F38" s="89">
        <f t="shared" si="13"/>
        <v>0.32709215862346397</v>
      </c>
      <c r="G38" s="89">
        <f t="shared" si="13"/>
        <v>0.37742177384214304</v>
      </c>
      <c r="H38" s="89">
        <f t="shared" si="13"/>
        <v>0.39894156201144687</v>
      </c>
      <c r="I38" s="89">
        <f t="shared" si="13"/>
        <v>0.37128179936645345</v>
      </c>
      <c r="J38" s="89">
        <f t="shared" si="13"/>
        <v>0.28885701366145228</v>
      </c>
      <c r="K38" s="89">
        <f t="shared" si="13"/>
        <v>0.17561265999618653</v>
      </c>
      <c r="L38" s="89">
        <f t="shared" si="13"/>
        <v>7.6461354212726831E-2</v>
      </c>
      <c r="M38" s="89">
        <f t="shared" ref="M38" si="14">_xlfn.NORM.S.DIST(M37,)</f>
        <v>0.16374976398502517</v>
      </c>
      <c r="N38" s="89">
        <f t="shared" ref="N38" si="15">_xlfn.NORM.S.DIST(N37,)</f>
        <v>0.28653196159498689</v>
      </c>
    </row>
    <row r="39" spans="1:17">
      <c r="L39" s="107" t="s">
        <v>317</v>
      </c>
      <c r="M39" s="107"/>
      <c r="N39" s="107"/>
      <c r="O39" s="107"/>
    </row>
    <row r="40" spans="1:17">
      <c r="L40" s="2" t="s">
        <v>316</v>
      </c>
      <c r="M40" s="2" t="s">
        <v>318</v>
      </c>
      <c r="N40" s="2" t="s">
        <v>319</v>
      </c>
      <c r="O40" s="2" t="s">
        <v>320</v>
      </c>
    </row>
    <row r="41" spans="1:17">
      <c r="L41" s="2" t="s">
        <v>321</v>
      </c>
      <c r="M41" s="64" t="str">
        <f>IF(L32&gt;H32,L32,"")</f>
        <v/>
      </c>
      <c r="N41" s="2" t="e">
        <f>_xlfn.NORM.DIST(M41,O36,P36,1)</f>
        <v>#VALUE!</v>
      </c>
      <c r="O41" s="2" t="e">
        <f>1-N41</f>
        <v>#VALUE!</v>
      </c>
    </row>
    <row r="42" spans="1:17">
      <c r="L42" s="2" t="s">
        <v>313</v>
      </c>
      <c r="M42" s="64" t="str">
        <f>IF(L32&gt;H32,H32,"")</f>
        <v/>
      </c>
      <c r="N42" s="2" t="e">
        <f>_xlfn.NORM.DIST(M42,O36,P36,1)</f>
        <v>#VALUE!</v>
      </c>
      <c r="O42" s="2" t="e">
        <f>1-N42</f>
        <v>#VALUE!</v>
      </c>
    </row>
    <row r="43" spans="1:17">
      <c r="N43" s="2" t="e">
        <f>N41-N42</f>
        <v>#VALUE!</v>
      </c>
      <c r="O43" s="2" t="e">
        <f>1-N43</f>
        <v>#VALUE!</v>
      </c>
    </row>
    <row r="45" spans="1:17">
      <c r="L45" s="107" t="s">
        <v>317</v>
      </c>
      <c r="M45" s="107"/>
      <c r="N45" s="107"/>
      <c r="O45" s="107"/>
    </row>
    <row r="46" spans="1:17">
      <c r="L46" s="2" t="s">
        <v>316</v>
      </c>
      <c r="M46" s="2" t="s">
        <v>318</v>
      </c>
      <c r="N46" s="2" t="s">
        <v>319</v>
      </c>
      <c r="O46" s="2" t="s">
        <v>320</v>
      </c>
    </row>
    <row r="47" spans="1:17">
      <c r="L47" s="2" t="s">
        <v>321</v>
      </c>
      <c r="M47" s="64">
        <f>IF(H32&gt;L32,H32,"")</f>
        <v>0.26350770701153103</v>
      </c>
      <c r="N47" s="2">
        <f>_xlfn.NORM.DIST(M47,O36,P36,1)</f>
        <v>0.20793911966676354</v>
      </c>
      <c r="O47" s="2">
        <f>1-N47</f>
        <v>0.79206088033323652</v>
      </c>
    </row>
    <row r="48" spans="1:17">
      <c r="L48" s="2" t="s">
        <v>313</v>
      </c>
      <c r="M48" s="64">
        <f>IF(H32&gt;L32,L32,"")</f>
        <v>0.2</v>
      </c>
      <c r="N48" s="2">
        <f>_xlfn.NORM.DIST(M48,O36,P36,1)</f>
        <v>9.1016073825950922E-2</v>
      </c>
      <c r="O48" s="2">
        <f>1-N48</f>
        <v>0.90898392617404911</v>
      </c>
    </row>
    <row r="49" spans="4:15">
      <c r="N49" s="56">
        <f>N47-N48</f>
        <v>0.11692304584081262</v>
      </c>
      <c r="O49" s="2">
        <f>1-N49</f>
        <v>0.88307695415918741</v>
      </c>
    </row>
    <row r="59" spans="4:15">
      <c r="D59" s="2" t="str">
        <f>IF(D32&gt;=0,"Proyecto aceptado", "Proyecto rechazado")</f>
        <v>Proyecto aceptado</v>
      </c>
      <c r="H59" s="2" t="str">
        <f>IF(H32&gt;=L32,"Proyecto aceptado","Proyecto rechazado")</f>
        <v>Proyecto aceptado</v>
      </c>
    </row>
  </sheetData>
  <mergeCells count="9">
    <mergeCell ref="L39:O39"/>
    <mergeCell ref="L45:O45"/>
    <mergeCell ref="M34:N34"/>
    <mergeCell ref="A3:L3"/>
    <mergeCell ref="A26:L26"/>
    <mergeCell ref="A27:A28"/>
    <mergeCell ref="B32:C32"/>
    <mergeCell ref="E32:G32"/>
    <mergeCell ref="I32:K32"/>
  </mergeCells>
  <phoneticPr fontId="1" type="noConversion"/>
  <conditionalFormatting sqref="D32">
    <cfRule type="cellIs" dxfId="3" priority="3" operator="lessThan">
      <formula>0</formula>
    </cfRule>
    <cfRule type="cellIs" dxfId="2" priority="4" operator="greaterThan">
      <formula>0</formula>
    </cfRule>
  </conditionalFormatting>
  <conditionalFormatting sqref="H32">
    <cfRule type="cellIs" dxfId="1" priority="1" operator="lessThan">
      <formula>$L$32</formula>
    </cfRule>
    <cfRule type="cellIs" dxfId="0" priority="2" operator="greaterThan">
      <formula>$L$32</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5E4E2-CD10-4423-B140-571B5E4ED771}">
  <dimension ref="A1:T37"/>
  <sheetViews>
    <sheetView topLeftCell="A2" zoomScaleNormal="100" workbookViewId="0">
      <selection activeCell="H34" sqref="H34"/>
    </sheetView>
  </sheetViews>
  <sheetFormatPr defaultColWidth="11.42578125" defaultRowHeight="14.45"/>
  <cols>
    <col min="1" max="1" width="11.42578125" style="2"/>
    <col min="2" max="2" width="14" style="63" customWidth="1"/>
    <col min="3" max="16384" width="11.42578125" style="2"/>
  </cols>
  <sheetData>
    <row r="1" spans="1:20" s="41" customFormat="1" ht="25.9">
      <c r="A1" s="41" t="s">
        <v>322</v>
      </c>
      <c r="B1" s="72"/>
    </row>
    <row r="2" spans="1:20">
      <c r="N2" s="2" t="s">
        <v>323</v>
      </c>
    </row>
    <row r="3" spans="1:20" ht="15" customHeight="1">
      <c r="B3" s="112" t="s">
        <v>221</v>
      </c>
      <c r="C3" s="113" t="s">
        <v>324</v>
      </c>
      <c r="D3" s="113"/>
      <c r="E3" s="113"/>
      <c r="O3" s="2">
        <v>0.41</v>
      </c>
      <c r="P3" s="2">
        <v>0.8</v>
      </c>
      <c r="Q3" s="2">
        <v>0.16</v>
      </c>
      <c r="R3" s="2">
        <f>0.198</f>
        <v>0.19800000000000001</v>
      </c>
      <c r="T3" s="2">
        <v>2.4</v>
      </c>
    </row>
    <row r="4" spans="1:20">
      <c r="B4" s="112"/>
      <c r="C4" s="68" t="s">
        <v>325</v>
      </c>
      <c r="D4" s="68" t="s">
        <v>326</v>
      </c>
      <c r="E4" s="68" t="s">
        <v>327</v>
      </c>
      <c r="O4" s="2" t="s">
        <v>23</v>
      </c>
      <c r="P4" s="2" t="s">
        <v>328</v>
      </c>
      <c r="Q4" s="2" t="s">
        <v>40</v>
      </c>
      <c r="R4" s="2" t="s">
        <v>329</v>
      </c>
      <c r="T4" s="2">
        <f>4*M5</f>
        <v>1.64</v>
      </c>
    </row>
    <row r="5" spans="1:20">
      <c r="B5" s="112"/>
      <c r="C5" s="64">
        <v>1.1000000000000001</v>
      </c>
      <c r="D5" s="64">
        <v>1</v>
      </c>
      <c r="E5" s="64">
        <v>0.9</v>
      </c>
      <c r="M5" s="2">
        <v>0.41</v>
      </c>
      <c r="N5" s="2" t="s">
        <v>23</v>
      </c>
      <c r="O5" s="2">
        <v>1</v>
      </c>
      <c r="P5" s="2">
        <f>M5/P3</f>
        <v>0.51249999999999996</v>
      </c>
      <c r="Q5" s="2">
        <f>M5/Q3</f>
        <v>2.5625</v>
      </c>
      <c r="R5" s="2">
        <f>M5/R3</f>
        <v>2.0707070707070705</v>
      </c>
      <c r="T5" s="2">
        <f>T3-T4</f>
        <v>0.76</v>
      </c>
    </row>
    <row r="6" spans="1:20">
      <c r="B6" s="75" t="s">
        <v>313</v>
      </c>
      <c r="C6" s="73">
        <v>0.2838</v>
      </c>
      <c r="D6" s="73">
        <v>0.24399999999999999</v>
      </c>
      <c r="E6" s="73">
        <v>0.20169999999999999</v>
      </c>
      <c r="M6" s="2">
        <v>0.8</v>
      </c>
      <c r="N6" s="2" t="s">
        <v>328</v>
      </c>
      <c r="O6" s="2">
        <f>M6/O3</f>
        <v>1.9512195121951221</v>
      </c>
      <c r="P6" s="2">
        <v>1</v>
      </c>
      <c r="Q6" s="2">
        <f>M6/Q3</f>
        <v>5</v>
      </c>
      <c r="R6" s="2">
        <f>M6/R3</f>
        <v>4.0404040404040407</v>
      </c>
      <c r="T6" s="2">
        <f>T5/M8</f>
        <v>3.8383838383838382</v>
      </c>
    </row>
    <row r="7" spans="1:20">
      <c r="B7" s="74"/>
      <c r="M7" s="2">
        <v>0.16</v>
      </c>
      <c r="N7" s="2" t="s">
        <v>40</v>
      </c>
      <c r="O7" s="2">
        <f>M7/O3</f>
        <v>0.3902439024390244</v>
      </c>
      <c r="P7" s="2">
        <f>M7/P3</f>
        <v>0.19999999999999998</v>
      </c>
      <c r="Q7" s="2">
        <v>1</v>
      </c>
      <c r="R7" s="2">
        <f>M7/R3</f>
        <v>0.80808080808080807</v>
      </c>
    </row>
    <row r="8" spans="1:20" ht="15" customHeight="1">
      <c r="B8" s="112" t="s">
        <v>330</v>
      </c>
      <c r="C8" s="113" t="s">
        <v>324</v>
      </c>
      <c r="D8" s="113"/>
      <c r="E8" s="113"/>
      <c r="M8" s="2">
        <f>0.198</f>
        <v>0.19800000000000001</v>
      </c>
      <c r="N8" s="2" t="s">
        <v>329</v>
      </c>
      <c r="O8" s="2">
        <f>M8/O3</f>
        <v>0.48292682926829272</v>
      </c>
      <c r="P8" s="2">
        <f>M8/P3</f>
        <v>0.2475</v>
      </c>
      <c r="Q8" s="2">
        <f>M8/Q3</f>
        <v>1.2375</v>
      </c>
      <c r="R8" s="2">
        <v>1</v>
      </c>
    </row>
    <row r="9" spans="1:20">
      <c r="B9" s="112"/>
      <c r="C9" s="68" t="s">
        <v>325</v>
      </c>
      <c r="D9" s="68" t="s">
        <v>326</v>
      </c>
      <c r="E9" s="68" t="s">
        <v>327</v>
      </c>
    </row>
    <row r="10" spans="1:20">
      <c r="B10" s="112"/>
      <c r="C10" s="64">
        <v>1.1000000000000001</v>
      </c>
      <c r="D10" s="64">
        <v>1</v>
      </c>
      <c r="E10" s="64">
        <v>0.9</v>
      </c>
    </row>
    <row r="11" spans="1:20">
      <c r="B11" s="75" t="s">
        <v>313</v>
      </c>
      <c r="C11" s="73">
        <v>0.31929999999999997</v>
      </c>
      <c r="D11" s="73">
        <f>D6</f>
        <v>0.24399999999999999</v>
      </c>
      <c r="E11" s="73">
        <v>0.15920000000000001</v>
      </c>
    </row>
    <row r="12" spans="1:20">
      <c r="B12" s="74"/>
    </row>
    <row r="13" spans="1:20">
      <c r="B13" s="112" t="s">
        <v>40</v>
      </c>
      <c r="C13" s="113" t="s">
        <v>324</v>
      </c>
      <c r="D13" s="113"/>
      <c r="E13" s="113"/>
    </row>
    <row r="14" spans="1:20">
      <c r="B14" s="112"/>
      <c r="C14" s="68" t="s">
        <v>325</v>
      </c>
      <c r="D14" s="68" t="s">
        <v>326</v>
      </c>
      <c r="E14" s="68" t="s">
        <v>327</v>
      </c>
    </row>
    <row r="15" spans="1:20">
      <c r="B15" s="112"/>
      <c r="C15" s="64">
        <v>0.9</v>
      </c>
      <c r="D15" s="64">
        <v>1</v>
      </c>
      <c r="E15" s="64">
        <v>1.1000000000000001</v>
      </c>
    </row>
    <row r="16" spans="1:20">
      <c r="B16" s="75" t="s">
        <v>313</v>
      </c>
      <c r="C16" s="73">
        <v>0.25979999999999998</v>
      </c>
      <c r="D16" s="73">
        <f>D11</f>
        <v>0.24399999999999999</v>
      </c>
      <c r="E16" s="73">
        <v>0.2278</v>
      </c>
    </row>
    <row r="17" spans="2:5">
      <c r="B17" s="74"/>
    </row>
    <row r="18" spans="2:5">
      <c r="B18" s="112" t="s">
        <v>229</v>
      </c>
      <c r="C18" s="113" t="s">
        <v>324</v>
      </c>
      <c r="D18" s="113"/>
      <c r="E18" s="113"/>
    </row>
    <row r="19" spans="2:5">
      <c r="B19" s="112"/>
      <c r="C19" s="68" t="s">
        <v>325</v>
      </c>
      <c r="D19" s="68" t="s">
        <v>326</v>
      </c>
      <c r="E19" s="68" t="s">
        <v>327</v>
      </c>
    </row>
    <row r="20" spans="2:5">
      <c r="B20" s="112"/>
      <c r="C20" s="64">
        <v>0.9</v>
      </c>
      <c r="D20" s="64">
        <v>1</v>
      </c>
      <c r="E20" s="64">
        <v>1.1000000000000001</v>
      </c>
    </row>
    <row r="21" spans="2:5">
      <c r="B21" s="75" t="s">
        <v>313</v>
      </c>
      <c r="C21" s="73">
        <v>0.26350000000000001</v>
      </c>
      <c r="D21" s="73">
        <f>D16</f>
        <v>0.24399999999999999</v>
      </c>
      <c r="E21" s="73">
        <v>0.22389999999999999</v>
      </c>
    </row>
    <row r="22" spans="2:5">
      <c r="B22" s="74"/>
    </row>
    <row r="23" spans="2:5" ht="15" customHeight="1">
      <c r="B23" s="112" t="s">
        <v>70</v>
      </c>
      <c r="C23" s="113" t="s">
        <v>324</v>
      </c>
      <c r="D23" s="113"/>
      <c r="E23" s="113"/>
    </row>
    <row r="24" spans="2:5">
      <c r="B24" s="112"/>
      <c r="C24" s="68" t="s">
        <v>325</v>
      </c>
      <c r="D24" s="68" t="s">
        <v>326</v>
      </c>
      <c r="E24" s="68" t="s">
        <v>327</v>
      </c>
    </row>
    <row r="25" spans="2:5">
      <c r="B25" s="112"/>
      <c r="C25" s="64">
        <v>0.9</v>
      </c>
      <c r="D25" s="64">
        <v>1</v>
      </c>
      <c r="E25" s="64">
        <v>1.1000000000000001</v>
      </c>
    </row>
    <row r="26" spans="2:5">
      <c r="B26" s="75" t="s">
        <v>313</v>
      </c>
      <c r="C26" s="73"/>
      <c r="D26" s="73">
        <f>D21</f>
        <v>0.24399999999999999</v>
      </c>
      <c r="E26" s="73"/>
    </row>
    <row r="27" spans="2:5">
      <c r="B27" s="74"/>
    </row>
    <row r="28" spans="2:5">
      <c r="B28" s="112" t="s">
        <v>331</v>
      </c>
      <c r="C28" s="113" t="s">
        <v>324</v>
      </c>
      <c r="D28" s="113"/>
      <c r="E28" s="113"/>
    </row>
    <row r="29" spans="2:5">
      <c r="B29" s="112"/>
      <c r="C29" s="68" t="s">
        <v>325</v>
      </c>
      <c r="D29" s="68" t="s">
        <v>326</v>
      </c>
      <c r="E29" s="68" t="s">
        <v>327</v>
      </c>
    </row>
    <row r="30" spans="2:5">
      <c r="B30" s="112"/>
      <c r="C30" s="64">
        <v>0.9</v>
      </c>
      <c r="D30" s="64">
        <v>1</v>
      </c>
      <c r="E30" s="64">
        <v>1.1000000000000001</v>
      </c>
    </row>
    <row r="31" spans="2:5">
      <c r="B31" s="75" t="s">
        <v>313</v>
      </c>
      <c r="C31" s="73"/>
      <c r="D31" s="73">
        <f>D26</f>
        <v>0.24399999999999999</v>
      </c>
      <c r="E31" s="73"/>
    </row>
    <row r="32" spans="2:5">
      <c r="B32" s="74"/>
    </row>
    <row r="33" spans="2:5">
      <c r="B33" s="112" t="s">
        <v>93</v>
      </c>
      <c r="C33" s="113" t="s">
        <v>324</v>
      </c>
      <c r="D33" s="113"/>
      <c r="E33" s="113"/>
    </row>
    <row r="34" spans="2:5">
      <c r="B34" s="112"/>
      <c r="C34" s="68" t="s">
        <v>325</v>
      </c>
      <c r="D34" s="68" t="s">
        <v>326</v>
      </c>
      <c r="E34" s="68" t="s">
        <v>327</v>
      </c>
    </row>
    <row r="35" spans="2:5">
      <c r="B35" s="112"/>
      <c r="C35" s="64">
        <v>0.9</v>
      </c>
      <c r="D35" s="64">
        <v>1</v>
      </c>
      <c r="E35" s="64">
        <v>1.1000000000000001</v>
      </c>
    </row>
    <row r="36" spans="2:5">
      <c r="B36" s="75" t="s">
        <v>313</v>
      </c>
      <c r="C36" s="73"/>
      <c r="D36" s="73">
        <f>D31</f>
        <v>0.24399999999999999</v>
      </c>
      <c r="E36" s="73"/>
    </row>
    <row r="37" spans="2:5">
      <c r="B37" s="71"/>
    </row>
  </sheetData>
  <mergeCells count="14">
    <mergeCell ref="B28:B30"/>
    <mergeCell ref="B33:B35"/>
    <mergeCell ref="C28:E28"/>
    <mergeCell ref="C33:E33"/>
    <mergeCell ref="C3:E3"/>
    <mergeCell ref="C8:E8"/>
    <mergeCell ref="C13:E13"/>
    <mergeCell ref="C18:E18"/>
    <mergeCell ref="C23:E23"/>
    <mergeCell ref="B3:B5"/>
    <mergeCell ref="B8:B10"/>
    <mergeCell ref="B13:B15"/>
    <mergeCell ref="B18:B20"/>
    <mergeCell ref="B23:B2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D1F92-673F-4884-81BD-36161B66376F}">
  <dimension ref="A1:F185"/>
  <sheetViews>
    <sheetView zoomScale="115" zoomScaleNormal="115" workbookViewId="0">
      <selection activeCell="B13" sqref="B13"/>
    </sheetView>
  </sheetViews>
  <sheetFormatPr defaultColWidth="11.42578125" defaultRowHeight="14.45"/>
  <cols>
    <col min="1" max="1" width="21" style="2" customWidth="1"/>
    <col min="2" max="2" width="56.42578125" style="2" customWidth="1"/>
    <col min="3" max="24" width="18.140625" style="2" customWidth="1"/>
    <col min="25" max="16384" width="11.42578125" style="2"/>
  </cols>
  <sheetData>
    <row r="1" spans="1:6">
      <c r="A1" s="2" t="s">
        <v>332</v>
      </c>
    </row>
    <row r="3" spans="1:6">
      <c r="A3" s="2" t="s">
        <v>333</v>
      </c>
      <c r="B3" s="2" t="s">
        <v>334</v>
      </c>
      <c r="C3" s="2" t="s">
        <v>335</v>
      </c>
      <c r="D3" s="2" t="s">
        <v>336</v>
      </c>
      <c r="E3" s="2" t="s">
        <v>337</v>
      </c>
      <c r="F3" s="2" t="s">
        <v>338</v>
      </c>
    </row>
    <row r="4" spans="1:6">
      <c r="A4" s="2" t="s">
        <v>339</v>
      </c>
      <c r="B4" s="2" t="s">
        <v>340</v>
      </c>
    </row>
    <row r="5" spans="1:6">
      <c r="A5" s="2">
        <v>19000</v>
      </c>
      <c r="B5" s="16" t="s">
        <v>341</v>
      </c>
      <c r="C5" s="86">
        <v>46702.894999999997</v>
      </c>
      <c r="D5" s="86">
        <v>46893.963000000003</v>
      </c>
      <c r="E5" s="86">
        <v>51055.351999999999</v>
      </c>
      <c r="F5" s="86">
        <v>53307.167999999998</v>
      </c>
    </row>
    <row r="6" spans="1:6">
      <c r="A6" s="2">
        <v>19001</v>
      </c>
      <c r="B6" s="16" t="s">
        <v>342</v>
      </c>
      <c r="C6" s="86">
        <v>28693.620999999999</v>
      </c>
      <c r="D6" s="86">
        <v>31108.287</v>
      </c>
      <c r="E6" s="86">
        <v>34282.394</v>
      </c>
      <c r="F6" s="86">
        <v>32607.014999999999</v>
      </c>
    </row>
    <row r="7" spans="1:6">
      <c r="A7" s="2">
        <v>19002</v>
      </c>
      <c r="B7" s="2" t="s">
        <v>343</v>
      </c>
      <c r="C7" s="86">
        <v>18009.274000000001</v>
      </c>
      <c r="D7" s="86">
        <v>15785.675999999999</v>
      </c>
      <c r="E7" s="86">
        <v>16772.957999999999</v>
      </c>
      <c r="F7" s="86">
        <v>20700.152999999998</v>
      </c>
    </row>
    <row r="8" spans="1:6">
      <c r="A8" s="2">
        <v>19003</v>
      </c>
      <c r="B8" s="2" t="s">
        <v>344</v>
      </c>
      <c r="C8" s="86">
        <v>5085.7640000000001</v>
      </c>
      <c r="D8" s="86">
        <v>5127.0919999999996</v>
      </c>
      <c r="E8" s="86">
        <v>5433.2709999999997</v>
      </c>
      <c r="F8" s="86">
        <v>6048.2280000000001</v>
      </c>
    </row>
    <row r="9" spans="1:6">
      <c r="A9" s="2">
        <v>19004</v>
      </c>
      <c r="B9" s="2" t="s">
        <v>345</v>
      </c>
      <c r="C9" s="86">
        <v>2419.1089999999999</v>
      </c>
      <c r="D9" s="86">
        <v>2323.7930000000001</v>
      </c>
      <c r="E9" s="86">
        <v>2414.8130000000001</v>
      </c>
      <c r="F9" s="86">
        <v>2736.0680000000002</v>
      </c>
    </row>
    <row r="10" spans="1:6">
      <c r="A10" s="2">
        <v>19005</v>
      </c>
      <c r="B10" s="2" t="s">
        <v>346</v>
      </c>
      <c r="C10" s="86">
        <v>32.892000000000003</v>
      </c>
      <c r="D10" s="86">
        <v>14.928000000000001</v>
      </c>
      <c r="E10" s="86">
        <v>15.656000000000001</v>
      </c>
      <c r="F10" s="86">
        <v>16.518999999999998</v>
      </c>
    </row>
    <row r="11" spans="1:6">
      <c r="A11" s="2">
        <v>19006</v>
      </c>
      <c r="B11" s="2" t="s">
        <v>347</v>
      </c>
    </row>
    <row r="12" spans="1:6">
      <c r="A12" s="2">
        <v>19007</v>
      </c>
      <c r="B12" s="2" t="s">
        <v>286</v>
      </c>
      <c r="C12" s="86">
        <v>10537.293</v>
      </c>
      <c r="D12" s="86">
        <v>8349.7189999999991</v>
      </c>
      <c r="E12" s="86">
        <v>8940.5300000000007</v>
      </c>
      <c r="F12" s="86">
        <v>11932.376</v>
      </c>
    </row>
    <row r="13" spans="1:6">
      <c r="A13" s="2">
        <v>19008</v>
      </c>
      <c r="B13" s="2" t="s">
        <v>348</v>
      </c>
      <c r="C13" s="86">
        <v>598.43299999999999</v>
      </c>
      <c r="D13" s="86">
        <v>505.279</v>
      </c>
      <c r="E13" s="86">
        <v>716.07799999999997</v>
      </c>
      <c r="F13" s="86">
        <v>1364.1479999999999</v>
      </c>
    </row>
    <row r="14" spans="1:6">
      <c r="A14" s="2">
        <v>19009</v>
      </c>
      <c r="B14" s="2" t="s">
        <v>349</v>
      </c>
      <c r="C14" s="86">
        <v>2262.605</v>
      </c>
      <c r="D14" s="86">
        <v>2245.2080000000001</v>
      </c>
      <c r="E14" s="86">
        <v>2405.8980000000001</v>
      </c>
      <c r="F14" s="86">
        <v>2908.143</v>
      </c>
    </row>
    <row r="15" spans="1:6">
      <c r="A15" s="2">
        <v>19010</v>
      </c>
      <c r="B15" s="2" t="s">
        <v>350</v>
      </c>
    </row>
    <row r="16" spans="1:6">
      <c r="A16" s="2">
        <v>19011</v>
      </c>
      <c r="B16" s="2" t="s">
        <v>351</v>
      </c>
      <c r="C16" s="86">
        <v>8873.1209999999992</v>
      </c>
      <c r="D16" s="86">
        <v>6609.79</v>
      </c>
      <c r="E16" s="86">
        <v>7250.71</v>
      </c>
      <c r="F16" s="86">
        <v>10388.380999999999</v>
      </c>
    </row>
    <row r="17" spans="1:6">
      <c r="A17" s="2">
        <v>19012</v>
      </c>
      <c r="B17" s="2" t="s">
        <v>352</v>
      </c>
      <c r="C17" s="86">
        <v>2792.1329999999998</v>
      </c>
      <c r="D17" s="86">
        <v>2150.0520000000001</v>
      </c>
      <c r="E17" s="86">
        <v>2314.3980000000001</v>
      </c>
      <c r="F17" s="86">
        <v>3375.5070000000001</v>
      </c>
    </row>
    <row r="18" spans="1:6">
      <c r="A18" s="2">
        <v>19013</v>
      </c>
      <c r="B18" s="2" t="s">
        <v>353</v>
      </c>
      <c r="C18" s="86">
        <v>6080.9880000000003</v>
      </c>
      <c r="D18" s="86">
        <v>4459.7380000000003</v>
      </c>
      <c r="E18" s="86">
        <v>4936.3119999999999</v>
      </c>
      <c r="F18" s="86">
        <v>7012.8739999999998</v>
      </c>
    </row>
    <row r="19" spans="1:6">
      <c r="A19" s="2">
        <v>19014</v>
      </c>
      <c r="B19" s="2" t="s">
        <v>354</v>
      </c>
    </row>
    <row r="20" spans="1:6">
      <c r="A20" s="2">
        <v>19015</v>
      </c>
      <c r="B20" s="16" t="s">
        <v>355</v>
      </c>
      <c r="C20" s="86">
        <v>6080.9880000000003</v>
      </c>
      <c r="D20" s="86">
        <v>4459.7380000000003</v>
      </c>
      <c r="E20" s="86">
        <v>4936.3119999999999</v>
      </c>
      <c r="F20" s="86">
        <v>7012.8739999999998</v>
      </c>
    </row>
    <row r="21" spans="1:6">
      <c r="A21" s="2">
        <v>19016</v>
      </c>
      <c r="B21" s="2" t="s">
        <v>356</v>
      </c>
    </row>
    <row r="22" spans="1:6">
      <c r="A22" s="2">
        <v>19017</v>
      </c>
      <c r="B22" s="2" t="s">
        <v>357</v>
      </c>
      <c r="C22" s="86">
        <v>6085.7719999999999</v>
      </c>
      <c r="D22" s="86">
        <v>4493.8680000000004</v>
      </c>
      <c r="E22" s="86">
        <v>4936.3119999999999</v>
      </c>
      <c r="F22" s="86">
        <v>7012.8739999999998</v>
      </c>
    </row>
    <row r="23" spans="1:6">
      <c r="A23" s="2">
        <v>19018</v>
      </c>
      <c r="B23" s="2" t="s">
        <v>358</v>
      </c>
      <c r="C23" s="87">
        <v>-4.7839999999999998</v>
      </c>
      <c r="D23" s="86">
        <v>-34.130000000000003</v>
      </c>
    </row>
    <row r="24" spans="1:6">
      <c r="A24" s="2">
        <v>19019</v>
      </c>
      <c r="B24" s="2" t="s">
        <v>359</v>
      </c>
    </row>
    <row r="25" spans="1:6">
      <c r="A25" s="2">
        <v>19020</v>
      </c>
      <c r="B25" s="2" t="s">
        <v>360</v>
      </c>
    </row>
    <row r="26" spans="1:6">
      <c r="A26" s="2">
        <v>19021</v>
      </c>
      <c r="B26" s="2" t="s">
        <v>361</v>
      </c>
    </row>
    <row r="27" spans="1:6">
      <c r="A27" s="2">
        <v>19022</v>
      </c>
      <c r="B27" s="2" t="s">
        <v>362</v>
      </c>
    </row>
    <row r="28" spans="1:6">
      <c r="A28" s="2">
        <v>19023</v>
      </c>
      <c r="B28" s="2" t="s">
        <v>363</v>
      </c>
      <c r="C28" s="87">
        <v>1.97</v>
      </c>
      <c r="D28" s="87">
        <v>1.46</v>
      </c>
      <c r="F28" s="87">
        <v>2.2799999999999998</v>
      </c>
    </row>
    <row r="29" spans="1:6">
      <c r="A29" s="2">
        <v>19024</v>
      </c>
      <c r="B29" s="2" t="s">
        <v>364</v>
      </c>
    </row>
    <row r="30" spans="1:6">
      <c r="A30" s="2">
        <v>19025</v>
      </c>
      <c r="B30" s="2" t="s">
        <v>365</v>
      </c>
      <c r="C30" s="87">
        <v>1.97</v>
      </c>
      <c r="D30" s="87">
        <v>1.46</v>
      </c>
      <c r="F30" s="87">
        <v>2.2799999999999998</v>
      </c>
    </row>
    <row r="31" spans="1:6">
      <c r="A31" s="2">
        <v>19026</v>
      </c>
      <c r="B31" s="2" t="s">
        <v>366</v>
      </c>
    </row>
    <row r="32" spans="1:6">
      <c r="A32" s="2">
        <v>19027</v>
      </c>
      <c r="B32" s="2" t="s">
        <v>367</v>
      </c>
      <c r="C32" s="87">
        <v>1.97</v>
      </c>
      <c r="D32" s="87">
        <v>1.46</v>
      </c>
      <c r="F32" s="87">
        <v>2.2799999999999998</v>
      </c>
    </row>
    <row r="33" spans="1:6">
      <c r="A33" s="2">
        <v>19028</v>
      </c>
      <c r="B33" s="2" t="s">
        <v>368</v>
      </c>
    </row>
    <row r="34" spans="1:6">
      <c r="A34" s="2">
        <v>19029</v>
      </c>
      <c r="B34" s="2" t="s">
        <v>369</v>
      </c>
      <c r="C34" s="87">
        <v>1.97</v>
      </c>
      <c r="D34" s="87">
        <v>1.46</v>
      </c>
      <c r="F34" s="87">
        <v>2.2799999999999998</v>
      </c>
    </row>
    <row r="35" spans="1:6">
      <c r="A35" s="2" t="s">
        <v>370</v>
      </c>
      <c r="B35" s="2" t="s">
        <v>340</v>
      </c>
    </row>
    <row r="36" spans="1:6">
      <c r="A36" s="2">
        <v>19028</v>
      </c>
      <c r="B36" s="16" t="s">
        <v>371</v>
      </c>
    </row>
    <row r="37" spans="1:6">
      <c r="A37" s="2">
        <v>19029</v>
      </c>
      <c r="B37" s="16" t="s">
        <v>372</v>
      </c>
    </row>
    <row r="38" spans="1:6">
      <c r="A38" s="2">
        <v>19030</v>
      </c>
      <c r="B38" s="2" t="s">
        <v>373</v>
      </c>
      <c r="C38" s="86">
        <v>18583.898000000001</v>
      </c>
      <c r="D38" s="86">
        <v>12274.692999999999</v>
      </c>
      <c r="E38" s="86">
        <v>16919.157999999999</v>
      </c>
      <c r="F38" s="86">
        <v>18972.075000000001</v>
      </c>
    </row>
    <row r="39" spans="1:6">
      <c r="A39" s="2">
        <v>19031</v>
      </c>
      <c r="B39" s="2" t="s">
        <v>374</v>
      </c>
      <c r="C39" s="86">
        <v>6051.9409999999998</v>
      </c>
      <c r="D39" s="86">
        <v>6805.7510000000002</v>
      </c>
      <c r="E39" s="86">
        <v>7084.54</v>
      </c>
      <c r="F39" s="86">
        <v>7187.2179999999998</v>
      </c>
    </row>
    <row r="40" spans="1:6">
      <c r="A40" s="2">
        <v>19032</v>
      </c>
      <c r="B40" s="2" t="s">
        <v>375</v>
      </c>
    </row>
    <row r="41" spans="1:6">
      <c r="A41" s="2">
        <v>19033</v>
      </c>
      <c r="B41" s="2" t="s">
        <v>376</v>
      </c>
      <c r="C41" s="86">
        <v>396.053</v>
      </c>
      <c r="E41" s="87">
        <v>4.1159999999999997</v>
      </c>
      <c r="F41" s="86">
        <v>939.74</v>
      </c>
    </row>
    <row r="42" spans="1:6">
      <c r="A42" s="2">
        <v>19034</v>
      </c>
      <c r="B42" s="2" t="s">
        <v>377</v>
      </c>
      <c r="C42" s="86">
        <v>3792.471</v>
      </c>
      <c r="D42" s="86">
        <v>4462.12</v>
      </c>
      <c r="E42" s="86">
        <v>4598.3059999999996</v>
      </c>
      <c r="F42" s="86">
        <v>4113.4589999999998</v>
      </c>
    </row>
    <row r="43" spans="1:6">
      <c r="A43" s="2">
        <v>19035</v>
      </c>
      <c r="B43" s="2" t="s">
        <v>378</v>
      </c>
    </row>
    <row r="44" spans="1:6">
      <c r="A44" s="2">
        <v>19036</v>
      </c>
      <c r="B44" s="2" t="s">
        <v>379</v>
      </c>
    </row>
    <row r="45" spans="1:6">
      <c r="A45" s="2">
        <v>19037</v>
      </c>
      <c r="B45" s="2" t="s">
        <v>380</v>
      </c>
      <c r="C45" s="86">
        <v>28824.363000000001</v>
      </c>
      <c r="D45" s="86">
        <v>23542.563999999998</v>
      </c>
      <c r="E45" s="86">
        <v>28606.12</v>
      </c>
      <c r="F45" s="86">
        <v>31212.491999999998</v>
      </c>
    </row>
    <row r="46" spans="1:6">
      <c r="A46" s="2">
        <v>19038</v>
      </c>
      <c r="B46" s="2" t="s">
        <v>381</v>
      </c>
    </row>
    <row r="47" spans="1:6">
      <c r="A47" s="2">
        <v>19039</v>
      </c>
      <c r="B47" s="16" t="s">
        <v>382</v>
      </c>
      <c r="C47" s="86">
        <v>28824.363000000001</v>
      </c>
      <c r="D47" s="86">
        <v>23542.563999999998</v>
      </c>
      <c r="E47" s="86">
        <v>28606.12</v>
      </c>
      <c r="F47" s="86">
        <v>31212.491999999998</v>
      </c>
    </row>
    <row r="48" spans="1:6">
      <c r="A48" s="2">
        <v>19040</v>
      </c>
      <c r="B48" s="16" t="s">
        <v>383</v>
      </c>
    </row>
    <row r="49" spans="1:6">
      <c r="A49" s="2">
        <v>19041</v>
      </c>
      <c r="B49" s="2" t="s">
        <v>384</v>
      </c>
    </row>
    <row r="50" spans="1:6">
      <c r="A50" s="2">
        <v>19042</v>
      </c>
      <c r="B50" s="2" t="s">
        <v>385</v>
      </c>
    </row>
    <row r="51" spans="1:6">
      <c r="A51" s="2">
        <v>19043</v>
      </c>
      <c r="B51" s="2" t="s">
        <v>386</v>
      </c>
    </row>
    <row r="52" spans="1:6">
      <c r="A52" s="2">
        <v>19044</v>
      </c>
      <c r="B52" s="2" t="s">
        <v>387</v>
      </c>
    </row>
    <row r="53" spans="1:6">
      <c r="A53" s="2">
        <v>19045</v>
      </c>
      <c r="B53" s="2" t="s">
        <v>388</v>
      </c>
      <c r="C53" s="86">
        <v>3813.4780000000001</v>
      </c>
      <c r="D53" s="86">
        <v>3993.654</v>
      </c>
      <c r="E53" s="86">
        <v>2949.683</v>
      </c>
      <c r="F53" s="86">
        <v>613.01499999999999</v>
      </c>
    </row>
    <row r="54" spans="1:6">
      <c r="A54" s="2">
        <v>19046</v>
      </c>
      <c r="B54" s="2" t="s">
        <v>389</v>
      </c>
    </row>
    <row r="55" spans="1:6">
      <c r="A55" s="2">
        <v>19047</v>
      </c>
      <c r="B55" s="2" t="s">
        <v>390</v>
      </c>
    </row>
    <row r="56" spans="1:6">
      <c r="A56" s="2">
        <v>19048</v>
      </c>
      <c r="B56" s="2" t="s">
        <v>391</v>
      </c>
      <c r="C56" s="86">
        <v>16370.142</v>
      </c>
      <c r="D56" s="86">
        <v>17071.315999999999</v>
      </c>
      <c r="E56" s="86">
        <v>17768.037</v>
      </c>
      <c r="F56" s="86">
        <v>17924.638999999999</v>
      </c>
    </row>
    <row r="57" spans="1:6">
      <c r="A57" s="2">
        <v>19049</v>
      </c>
      <c r="B57" s="2" t="s">
        <v>392</v>
      </c>
    </row>
    <row r="58" spans="1:6">
      <c r="A58" s="2">
        <v>19050</v>
      </c>
      <c r="B58" s="2" t="s">
        <v>393</v>
      </c>
      <c r="C58" s="86">
        <v>1293.569</v>
      </c>
      <c r="D58" s="86">
        <v>1310.845</v>
      </c>
      <c r="E58" s="86">
        <v>1140.8979999999999</v>
      </c>
      <c r="F58" s="86">
        <v>1009.148</v>
      </c>
    </row>
    <row r="59" spans="1:6">
      <c r="A59" s="2">
        <v>19051</v>
      </c>
      <c r="B59" s="2" t="s">
        <v>394</v>
      </c>
      <c r="C59" s="86">
        <v>934.221</v>
      </c>
      <c r="D59" s="86">
        <v>934.221</v>
      </c>
      <c r="E59" s="86">
        <v>934.221</v>
      </c>
      <c r="F59" s="86">
        <v>934.221</v>
      </c>
    </row>
    <row r="60" spans="1:6">
      <c r="A60" s="2">
        <v>19052</v>
      </c>
      <c r="B60" s="2" t="s">
        <v>395</v>
      </c>
      <c r="C60" s="86">
        <v>2047.2059999999999</v>
      </c>
      <c r="D60" s="86">
        <v>1907.665</v>
      </c>
      <c r="E60" s="86">
        <v>1768.124</v>
      </c>
      <c r="F60" s="86">
        <v>1589.319</v>
      </c>
    </row>
    <row r="61" spans="1:6">
      <c r="A61" s="2">
        <v>19053</v>
      </c>
      <c r="B61" s="2" t="s">
        <v>396</v>
      </c>
      <c r="E61" s="86">
        <v>347.36200000000002</v>
      </c>
      <c r="F61" s="86">
        <v>610.51199999999994</v>
      </c>
    </row>
    <row r="62" spans="1:6">
      <c r="A62" s="2">
        <v>19054</v>
      </c>
      <c r="B62" s="2" t="s">
        <v>397</v>
      </c>
      <c r="C62" s="86">
        <v>33.671999999999997</v>
      </c>
      <c r="D62" s="86">
        <v>23.727</v>
      </c>
      <c r="E62" s="86">
        <v>26.175000000000001</v>
      </c>
      <c r="F62" s="86">
        <v>25.577999999999999</v>
      </c>
    </row>
    <row r="63" spans="1:6">
      <c r="A63" s="2">
        <v>19055</v>
      </c>
      <c r="B63" s="2" t="s">
        <v>398</v>
      </c>
      <c r="C63" s="86">
        <v>1122.7170000000001</v>
      </c>
      <c r="D63" s="86">
        <v>1172.029</v>
      </c>
      <c r="E63" s="86">
        <v>990.35</v>
      </c>
      <c r="F63" s="86">
        <v>817.149</v>
      </c>
    </row>
    <row r="64" spans="1:6">
      <c r="A64" s="2">
        <v>19056</v>
      </c>
      <c r="B64" s="16" t="s">
        <v>399</v>
      </c>
      <c r="C64" s="86">
        <v>24492.288</v>
      </c>
      <c r="D64" s="86">
        <v>25241.428</v>
      </c>
      <c r="E64" s="86">
        <v>24934.5</v>
      </c>
      <c r="F64" s="86">
        <v>22706.432000000001</v>
      </c>
    </row>
    <row r="65" spans="1:6">
      <c r="A65" s="2">
        <v>19057</v>
      </c>
      <c r="B65" s="16" t="s">
        <v>400</v>
      </c>
      <c r="C65" s="86">
        <v>53316.650999999998</v>
      </c>
      <c r="D65" s="86">
        <v>48783.991999999998</v>
      </c>
      <c r="E65" s="86">
        <v>53540.62</v>
      </c>
      <c r="F65" s="86">
        <v>53918.923999999999</v>
      </c>
    </row>
    <row r="66" spans="1:6">
      <c r="A66" s="2">
        <v>19058</v>
      </c>
      <c r="B66" s="16" t="s">
        <v>401</v>
      </c>
    </row>
    <row r="67" spans="1:6">
      <c r="A67" s="2">
        <v>19059</v>
      </c>
      <c r="B67" s="16" t="s">
        <v>402</v>
      </c>
    </row>
    <row r="68" spans="1:6">
      <c r="A68" s="2">
        <v>19060</v>
      </c>
      <c r="B68" s="16" t="s">
        <v>403</v>
      </c>
    </row>
    <row r="69" spans="1:6">
      <c r="A69" s="2">
        <v>19061</v>
      </c>
      <c r="B69" s="2" t="s">
        <v>404</v>
      </c>
      <c r="C69" s="86">
        <v>8298.3610000000008</v>
      </c>
      <c r="D69" s="86">
        <v>10148.806</v>
      </c>
      <c r="E69" s="86">
        <v>10154.371999999999</v>
      </c>
      <c r="F69" s="86">
        <v>10340.880999999999</v>
      </c>
    </row>
    <row r="70" spans="1:6">
      <c r="A70" s="2">
        <v>19062</v>
      </c>
      <c r="B70" s="2" t="s">
        <v>405</v>
      </c>
      <c r="C70" s="86">
        <v>757.64400000000001</v>
      </c>
      <c r="D70" s="86">
        <v>10.018000000000001</v>
      </c>
      <c r="E70" s="86">
        <v>467.52800000000002</v>
      </c>
      <c r="F70" s="86">
        <v>1190.626</v>
      </c>
    </row>
    <row r="71" spans="1:6">
      <c r="A71" s="2">
        <v>19063</v>
      </c>
      <c r="B71" s="2" t="s">
        <v>406</v>
      </c>
      <c r="C71" s="86">
        <v>4236.165</v>
      </c>
      <c r="D71" s="86">
        <v>3257.893</v>
      </c>
      <c r="E71" s="86">
        <v>2048.5839999999998</v>
      </c>
      <c r="F71" s="86">
        <v>4527.4669999999996</v>
      </c>
    </row>
    <row r="72" spans="1:6">
      <c r="A72" s="2">
        <v>19064</v>
      </c>
      <c r="B72" s="2" t="s">
        <v>407</v>
      </c>
      <c r="C72" s="86">
        <v>240.70599999999999</v>
      </c>
      <c r="D72" s="86">
        <v>251.679</v>
      </c>
      <c r="E72" s="86">
        <v>255.62</v>
      </c>
      <c r="F72" s="86">
        <v>266.61799999999999</v>
      </c>
    </row>
    <row r="73" spans="1:6">
      <c r="A73" s="2">
        <v>19065</v>
      </c>
      <c r="B73" s="2" t="s">
        <v>408</v>
      </c>
      <c r="C73" s="86">
        <v>37.853000000000002</v>
      </c>
      <c r="D73" s="86">
        <v>40.222000000000001</v>
      </c>
      <c r="E73" s="86">
        <v>42.481000000000002</v>
      </c>
      <c r="F73" s="86">
        <v>44.712000000000003</v>
      </c>
    </row>
    <row r="74" spans="1:6">
      <c r="A74" s="2">
        <v>19066</v>
      </c>
      <c r="B74" s="2" t="s">
        <v>409</v>
      </c>
    </row>
    <row r="75" spans="1:6">
      <c r="A75" s="2">
        <v>19067</v>
      </c>
      <c r="B75" s="2" t="s">
        <v>410</v>
      </c>
      <c r="C75" s="86">
        <v>1582.3109999999999</v>
      </c>
      <c r="D75" s="86">
        <v>1202.53</v>
      </c>
      <c r="E75" s="86">
        <v>1326.941</v>
      </c>
      <c r="F75" s="86">
        <v>1850.5989999999999</v>
      </c>
    </row>
    <row r="76" spans="1:6">
      <c r="A76" s="2">
        <v>19068</v>
      </c>
      <c r="B76" s="2" t="s">
        <v>411</v>
      </c>
      <c r="C76" s="86">
        <v>409.25900000000001</v>
      </c>
      <c r="D76" s="86">
        <v>339.00799999999998</v>
      </c>
      <c r="E76" s="86">
        <v>376.13200000000001</v>
      </c>
      <c r="F76" s="86">
        <v>505.94900000000001</v>
      </c>
    </row>
    <row r="77" spans="1:6">
      <c r="A77" s="2">
        <v>19069</v>
      </c>
      <c r="B77" s="2" t="s">
        <v>412</v>
      </c>
      <c r="C77" s="86">
        <v>1991.57</v>
      </c>
      <c r="D77" s="86">
        <v>1541.538</v>
      </c>
      <c r="E77" s="86">
        <v>1703.0730000000001</v>
      </c>
      <c r="F77" s="86">
        <v>2356.5479999999998</v>
      </c>
    </row>
    <row r="78" spans="1:6">
      <c r="A78" s="2">
        <v>19070</v>
      </c>
      <c r="B78" s="2" t="s">
        <v>413</v>
      </c>
      <c r="C78" s="86">
        <v>15562.299000000001</v>
      </c>
      <c r="D78" s="86">
        <v>15250.156000000001</v>
      </c>
      <c r="E78" s="86">
        <v>14671.657999999999</v>
      </c>
      <c r="F78" s="86">
        <v>18726.851999999999</v>
      </c>
    </row>
    <row r="79" spans="1:6">
      <c r="A79" s="2">
        <v>19071</v>
      </c>
      <c r="B79" s="2" t="s">
        <v>414</v>
      </c>
    </row>
    <row r="80" spans="1:6">
      <c r="A80" s="2">
        <v>19072</v>
      </c>
      <c r="B80" s="16" t="s">
        <v>415</v>
      </c>
      <c r="C80" s="86">
        <v>15562.299000000001</v>
      </c>
      <c r="D80" s="86">
        <v>15250.156000000001</v>
      </c>
      <c r="E80" s="86">
        <v>14671.657999999999</v>
      </c>
      <c r="F80" s="86">
        <v>18726.851999999999</v>
      </c>
    </row>
    <row r="81" spans="1:6">
      <c r="A81" s="2">
        <v>19073</v>
      </c>
      <c r="B81" s="16" t="s">
        <v>416</v>
      </c>
    </row>
    <row r="82" spans="1:6">
      <c r="A82" s="2">
        <v>19074</v>
      </c>
      <c r="B82" s="2" t="s">
        <v>417</v>
      </c>
    </row>
    <row r="83" spans="1:6">
      <c r="A83" s="2">
        <v>19075</v>
      </c>
      <c r="B83" s="2" t="s">
        <v>418</v>
      </c>
    </row>
    <row r="84" spans="1:6">
      <c r="A84" s="2">
        <v>19076</v>
      </c>
      <c r="B84" s="2" t="s">
        <v>419</v>
      </c>
      <c r="C84" s="86">
        <v>30255.447</v>
      </c>
      <c r="D84" s="86">
        <v>26103.329000000002</v>
      </c>
      <c r="E84" s="86">
        <v>32468.6</v>
      </c>
      <c r="F84" s="86">
        <v>27190.460999999999</v>
      </c>
    </row>
    <row r="85" spans="1:6">
      <c r="A85" s="2">
        <v>19077</v>
      </c>
      <c r="B85" s="2" t="s">
        <v>420</v>
      </c>
      <c r="C85" s="86">
        <v>260.27499999999998</v>
      </c>
    </row>
    <row r="86" spans="1:6">
      <c r="A86" s="2">
        <v>19078</v>
      </c>
      <c r="B86" s="2" t="s">
        <v>421</v>
      </c>
    </row>
    <row r="87" spans="1:6">
      <c r="A87" s="2">
        <v>19079</v>
      </c>
      <c r="B87" s="2" t="s">
        <v>422</v>
      </c>
      <c r="C87" s="86">
        <v>403.637</v>
      </c>
      <c r="D87" s="86">
        <v>336.34399999999999</v>
      </c>
      <c r="E87" s="86">
        <v>382.56200000000001</v>
      </c>
      <c r="F87" s="86">
        <v>263.30500000000001</v>
      </c>
    </row>
    <row r="88" spans="1:6">
      <c r="A88" s="2">
        <v>19080</v>
      </c>
      <c r="B88" s="2" t="s">
        <v>423</v>
      </c>
    </row>
    <row r="89" spans="1:6">
      <c r="A89" s="2">
        <v>19081</v>
      </c>
      <c r="B89" s="2" t="s">
        <v>424</v>
      </c>
      <c r="C89" s="86">
        <v>403.637</v>
      </c>
      <c r="D89" s="86">
        <v>336.34399999999999</v>
      </c>
      <c r="E89" s="86">
        <v>382.56200000000001</v>
      </c>
      <c r="F89" s="86">
        <v>263.30500000000001</v>
      </c>
    </row>
    <row r="90" spans="1:6">
      <c r="A90" s="2">
        <v>19082</v>
      </c>
      <c r="B90" s="2" t="s">
        <v>425</v>
      </c>
      <c r="C90" s="86">
        <v>19.454999999999998</v>
      </c>
      <c r="D90" s="86">
        <v>198.505</v>
      </c>
    </row>
    <row r="91" spans="1:6">
      <c r="A91" s="2">
        <v>19083</v>
      </c>
      <c r="B91" s="16" t="s">
        <v>426</v>
      </c>
      <c r="C91" s="86">
        <v>32061.530999999999</v>
      </c>
      <c r="D91" s="86">
        <v>27810.206999999999</v>
      </c>
      <c r="E91" s="86">
        <v>33841.512000000002</v>
      </c>
      <c r="F91" s="86">
        <v>28270.915000000001</v>
      </c>
    </row>
    <row r="92" spans="1:6">
      <c r="A92" s="2">
        <v>19084</v>
      </c>
      <c r="B92" s="16" t="s">
        <v>427</v>
      </c>
      <c r="C92" s="86">
        <v>47623.83</v>
      </c>
      <c r="D92" s="86">
        <v>43060.362999999998</v>
      </c>
      <c r="E92" s="86">
        <v>48513.17</v>
      </c>
      <c r="F92" s="86">
        <v>46997.767</v>
      </c>
    </row>
    <row r="93" spans="1:6">
      <c r="A93" s="2">
        <v>19085</v>
      </c>
      <c r="B93" s="16" t="s">
        <v>428</v>
      </c>
    </row>
    <row r="94" spans="1:6">
      <c r="A94" s="2">
        <v>19086</v>
      </c>
      <c r="B94" s="2" t="s">
        <v>429</v>
      </c>
      <c r="C94" s="86">
        <v>19.658999999999999</v>
      </c>
      <c r="D94" s="86">
        <v>19.634</v>
      </c>
      <c r="E94" s="86">
        <v>19.634</v>
      </c>
      <c r="F94" s="86">
        <v>19.634</v>
      </c>
    </row>
    <row r="95" spans="1:6">
      <c r="A95" s="2">
        <v>19087</v>
      </c>
      <c r="B95" s="2" t="s">
        <v>430</v>
      </c>
    </row>
    <row r="96" spans="1:6">
      <c r="A96" s="2">
        <v>19088</v>
      </c>
      <c r="B96" s="2" t="s">
        <v>431</v>
      </c>
    </row>
    <row r="97" spans="1:6">
      <c r="A97" s="2">
        <v>19089</v>
      </c>
      <c r="B97" s="2" t="s">
        <v>432</v>
      </c>
      <c r="C97" s="86">
        <v>6146.9960000000001</v>
      </c>
      <c r="D97" s="86">
        <v>5095.3729999999996</v>
      </c>
      <c r="E97" s="86">
        <v>4988.4679999999998</v>
      </c>
      <c r="F97" s="86">
        <v>7019.6270000000004</v>
      </c>
    </row>
    <row r="98" spans="1:6">
      <c r="A98" s="2">
        <v>19090</v>
      </c>
      <c r="B98" s="2" t="s">
        <v>433</v>
      </c>
      <c r="C98" s="86">
        <v>-357.43</v>
      </c>
      <c r="D98" s="86">
        <v>608.62199999999996</v>
      </c>
      <c r="E98" s="86">
        <v>19.347999999999999</v>
      </c>
      <c r="F98" s="86">
        <v>-118.104</v>
      </c>
    </row>
    <row r="99" spans="1:6">
      <c r="A99" s="2">
        <v>19091</v>
      </c>
      <c r="B99" s="2" t="s">
        <v>434</v>
      </c>
      <c r="C99" s="86">
        <v>5809.2250000000004</v>
      </c>
      <c r="D99" s="86">
        <v>5723.6289999999999</v>
      </c>
      <c r="E99" s="86">
        <v>5027.45</v>
      </c>
      <c r="F99" s="86">
        <v>6921.1570000000002</v>
      </c>
    </row>
    <row r="100" spans="1:6">
      <c r="A100" s="2">
        <v>19092</v>
      </c>
      <c r="B100" s="2" t="s">
        <v>435</v>
      </c>
      <c r="C100" s="86">
        <v>-116.404</v>
      </c>
    </row>
    <row r="101" spans="1:6">
      <c r="A101" s="2">
        <v>19093</v>
      </c>
      <c r="B101" s="16" t="s">
        <v>436</v>
      </c>
      <c r="C101" s="86">
        <v>5692.8209999999999</v>
      </c>
      <c r="D101" s="86">
        <v>5723.6289999999999</v>
      </c>
      <c r="E101" s="86">
        <v>5027.45</v>
      </c>
      <c r="F101" s="86">
        <v>6921.1570000000002</v>
      </c>
    </row>
    <row r="102" spans="1:6">
      <c r="A102" s="2">
        <v>19094</v>
      </c>
      <c r="B102" s="2" t="s">
        <v>437</v>
      </c>
      <c r="C102" s="86">
        <v>53316.650999999998</v>
      </c>
      <c r="D102" s="86">
        <v>48783.991999999998</v>
      </c>
      <c r="E102" s="86">
        <v>53540.62</v>
      </c>
      <c r="F102" s="86">
        <v>53918.923999999999</v>
      </c>
    </row>
    <row r="103" spans="1:6">
      <c r="A103" s="2" t="s">
        <v>438</v>
      </c>
      <c r="B103" s="2" t="s">
        <v>340</v>
      </c>
    </row>
    <row r="104" spans="1:6">
      <c r="A104" s="2">
        <v>19095</v>
      </c>
      <c r="B104" s="2" t="s">
        <v>355</v>
      </c>
      <c r="C104" s="86">
        <v>6080.9880000000003</v>
      </c>
      <c r="D104" s="86">
        <v>4459.7380000000003</v>
      </c>
      <c r="E104" s="86">
        <v>4936.3119999999999</v>
      </c>
      <c r="F104" s="86">
        <v>7012.8739999999998</v>
      </c>
    </row>
    <row r="105" spans="1:6">
      <c r="A105" s="2">
        <v>19096</v>
      </c>
      <c r="B105" s="2" t="s">
        <v>439</v>
      </c>
    </row>
    <row r="106" spans="1:6">
      <c r="A106" s="2">
        <v>19097</v>
      </c>
      <c r="B106" s="2" t="s">
        <v>440</v>
      </c>
    </row>
    <row r="107" spans="1:6">
      <c r="A107" s="2">
        <v>19098</v>
      </c>
      <c r="B107" s="2" t="s">
        <v>352</v>
      </c>
      <c r="C107" s="86">
        <v>2792.1329999999998</v>
      </c>
      <c r="D107" s="86">
        <v>2150.0520000000001</v>
      </c>
      <c r="E107" s="86">
        <v>2314.3980000000001</v>
      </c>
      <c r="F107" s="86">
        <v>3375.5070000000001</v>
      </c>
    </row>
    <row r="108" spans="1:6">
      <c r="A108" s="2">
        <v>19099</v>
      </c>
      <c r="B108" s="2" t="s">
        <v>441</v>
      </c>
      <c r="C108" s="86">
        <v>1664.172</v>
      </c>
      <c r="D108" s="86">
        <v>1739.9290000000001</v>
      </c>
      <c r="E108" s="86">
        <v>1689.82</v>
      </c>
      <c r="F108" s="86">
        <v>1543.9949999999999</v>
      </c>
    </row>
    <row r="109" spans="1:6">
      <c r="A109" s="2">
        <v>19100</v>
      </c>
      <c r="B109" s="2" t="s">
        <v>442</v>
      </c>
      <c r="C109" s="86">
        <v>1953.335</v>
      </c>
      <c r="D109" s="86">
        <v>1935.2809999999999</v>
      </c>
      <c r="E109" s="86">
        <v>1962.7260000000001</v>
      </c>
      <c r="F109" s="86">
        <v>1984.52</v>
      </c>
    </row>
    <row r="110" spans="1:6">
      <c r="A110" s="2">
        <v>19101</v>
      </c>
      <c r="B110" s="2" t="s">
        <v>443</v>
      </c>
    </row>
    <row r="111" spans="1:6">
      <c r="A111" s="2">
        <v>19102</v>
      </c>
      <c r="B111" s="2" t="s">
        <v>444</v>
      </c>
    </row>
    <row r="112" spans="1:6">
      <c r="A112" s="2">
        <v>19103</v>
      </c>
      <c r="B112" s="2" t="s">
        <v>445</v>
      </c>
    </row>
    <row r="113" spans="1:6">
      <c r="A113" s="2">
        <v>19104</v>
      </c>
      <c r="B113" s="2" t="s">
        <v>446</v>
      </c>
    </row>
    <row r="114" spans="1:6">
      <c r="A114" s="2">
        <v>19105</v>
      </c>
      <c r="B114" s="2" t="s">
        <v>447</v>
      </c>
    </row>
    <row r="115" spans="1:6">
      <c r="A115" s="2">
        <v>19106</v>
      </c>
      <c r="B115" s="2" t="s">
        <v>448</v>
      </c>
    </row>
    <row r="116" spans="1:6">
      <c r="A116" s="2">
        <v>19107</v>
      </c>
      <c r="B116" s="2" t="s">
        <v>449</v>
      </c>
    </row>
    <row r="117" spans="1:6">
      <c r="A117" s="2">
        <v>19108</v>
      </c>
      <c r="B117" s="2" t="s">
        <v>450</v>
      </c>
    </row>
    <row r="118" spans="1:6">
      <c r="A118" s="2">
        <v>19109</v>
      </c>
      <c r="B118" s="2" t="s">
        <v>451</v>
      </c>
      <c r="C118" s="86">
        <v>-566.76800000000003</v>
      </c>
      <c r="D118" s="86">
        <v>-669.649</v>
      </c>
      <c r="E118" s="86">
        <v>-136.18600000000001</v>
      </c>
      <c r="F118" s="86">
        <v>484.84699999999998</v>
      </c>
    </row>
    <row r="119" spans="1:6">
      <c r="A119" s="2">
        <v>19110</v>
      </c>
      <c r="B119" s="2" t="s">
        <v>452</v>
      </c>
      <c r="C119" s="86">
        <v>581.90700000000004</v>
      </c>
      <c r="D119" s="86">
        <v>-598.28899999999999</v>
      </c>
      <c r="E119" s="86">
        <v>-269.07</v>
      </c>
      <c r="F119" s="86">
        <v>-372.62599999999998</v>
      </c>
    </row>
    <row r="120" spans="1:6">
      <c r="A120" s="2">
        <v>19111</v>
      </c>
      <c r="B120" s="2" t="s">
        <v>453</v>
      </c>
      <c r="C120" s="86">
        <v>70.926000000000002</v>
      </c>
      <c r="D120" s="86">
        <v>-111.91</v>
      </c>
      <c r="E120" s="86">
        <v>-70.337999999999994</v>
      </c>
      <c r="F120" s="86">
        <v>174.34700000000001</v>
      </c>
    </row>
    <row r="121" spans="1:6">
      <c r="A121" s="2">
        <v>19112</v>
      </c>
      <c r="B121" s="2" t="s">
        <v>454</v>
      </c>
      <c r="C121" s="86">
        <v>876.66</v>
      </c>
      <c r="D121" s="86">
        <v>1978.702</v>
      </c>
      <c r="E121" s="86">
        <v>-296.69799999999998</v>
      </c>
      <c r="F121" s="86">
        <v>276.82799999999997</v>
      </c>
    </row>
    <row r="122" spans="1:6">
      <c r="A122" s="2">
        <v>19113</v>
      </c>
      <c r="B122" s="2" t="s">
        <v>455</v>
      </c>
      <c r="C122" s="86">
        <v>-204.15100000000001</v>
      </c>
      <c r="D122" s="86">
        <v>-955.49599999999998</v>
      </c>
      <c r="E122" s="86">
        <v>341.67399999999998</v>
      </c>
      <c r="F122" s="86">
        <v>1145.2429999999999</v>
      </c>
    </row>
    <row r="123" spans="1:6">
      <c r="A123" s="2">
        <v>19114</v>
      </c>
      <c r="B123" s="2" t="s">
        <v>456</v>
      </c>
    </row>
    <row r="124" spans="1:6">
      <c r="A124" s="2">
        <v>19115</v>
      </c>
      <c r="B124" s="2" t="s">
        <v>457</v>
      </c>
    </row>
    <row r="125" spans="1:6">
      <c r="A125" s="2">
        <v>19116</v>
      </c>
      <c r="B125" s="2" t="s">
        <v>458</v>
      </c>
    </row>
    <row r="126" spans="1:6">
      <c r="A126" s="2">
        <v>19117</v>
      </c>
      <c r="B126" s="2" t="s">
        <v>459</v>
      </c>
    </row>
    <row r="127" spans="1:6">
      <c r="A127" s="2">
        <v>19118</v>
      </c>
      <c r="B127" s="2" t="s">
        <v>460</v>
      </c>
    </row>
    <row r="128" spans="1:6">
      <c r="A128" s="2">
        <v>19119</v>
      </c>
      <c r="B128" s="2" t="s">
        <v>461</v>
      </c>
    </row>
    <row r="129" spans="1:6">
      <c r="A129" s="2">
        <v>19120</v>
      </c>
      <c r="B129" s="2" t="s">
        <v>462</v>
      </c>
      <c r="C129" s="86">
        <v>7168.2139999999999</v>
      </c>
      <c r="D129" s="86">
        <v>5468.62</v>
      </c>
      <c r="E129" s="86">
        <v>5536.326</v>
      </c>
      <c r="F129" s="86">
        <v>8612.6610000000001</v>
      </c>
    </row>
    <row r="130" spans="1:6">
      <c r="A130" s="2">
        <v>19121</v>
      </c>
      <c r="B130" s="2" t="s">
        <v>463</v>
      </c>
      <c r="C130" s="86">
        <v>13249.201999999999</v>
      </c>
      <c r="D130" s="86">
        <v>9928.3580000000002</v>
      </c>
      <c r="E130" s="86">
        <v>10472.638000000001</v>
      </c>
      <c r="F130" s="86">
        <v>15625.535</v>
      </c>
    </row>
    <row r="131" spans="1:6">
      <c r="A131" s="2">
        <v>19122</v>
      </c>
      <c r="B131" s="2" t="s">
        <v>464</v>
      </c>
    </row>
    <row r="132" spans="1:6">
      <c r="A132" s="2">
        <v>19123</v>
      </c>
      <c r="B132" s="2" t="s">
        <v>465</v>
      </c>
    </row>
    <row r="133" spans="1:6">
      <c r="A133" s="2">
        <v>19124</v>
      </c>
      <c r="B133" s="2" t="s">
        <v>466</v>
      </c>
    </row>
    <row r="134" spans="1:6">
      <c r="A134" s="2">
        <v>19125</v>
      </c>
      <c r="B134" s="2" t="s">
        <v>467</v>
      </c>
    </row>
    <row r="135" spans="1:6">
      <c r="A135" s="2">
        <v>19126</v>
      </c>
      <c r="B135" s="2" t="s">
        <v>468</v>
      </c>
      <c r="C135" s="86">
        <v>2915.4409999999998</v>
      </c>
      <c r="D135" s="86">
        <v>3130.6970000000001</v>
      </c>
      <c r="E135" s="86">
        <v>2153.6979999999999</v>
      </c>
      <c r="F135" s="86">
        <v>2865.51</v>
      </c>
    </row>
    <row r="136" spans="1:6">
      <c r="A136" s="2">
        <v>19127</v>
      </c>
      <c r="B136" s="2" t="s">
        <v>469</v>
      </c>
    </row>
    <row r="137" spans="1:6">
      <c r="A137" s="2">
        <v>19128</v>
      </c>
      <c r="B137" s="2" t="s">
        <v>470</v>
      </c>
      <c r="C137" s="86">
        <v>10333.761</v>
      </c>
      <c r="D137" s="86">
        <v>6797.6610000000001</v>
      </c>
      <c r="E137" s="86">
        <v>8318.94</v>
      </c>
      <c r="F137" s="86">
        <v>12760.025</v>
      </c>
    </row>
    <row r="138" spans="1:6">
      <c r="A138" s="2">
        <v>19129</v>
      </c>
      <c r="B138" s="2" t="s">
        <v>471</v>
      </c>
    </row>
    <row r="139" spans="1:6">
      <c r="A139" s="2">
        <v>19130</v>
      </c>
      <c r="B139" s="2" t="s">
        <v>472</v>
      </c>
    </row>
    <row r="140" spans="1:6">
      <c r="A140" s="2">
        <v>19131</v>
      </c>
      <c r="B140" s="2" t="s">
        <v>473</v>
      </c>
    </row>
    <row r="141" spans="1:6">
      <c r="A141" s="2">
        <v>19132</v>
      </c>
      <c r="B141" s="2" t="s">
        <v>474</v>
      </c>
    </row>
    <row r="142" spans="1:6">
      <c r="A142" s="2">
        <v>19133</v>
      </c>
      <c r="B142" s="2" t="s">
        <v>475</v>
      </c>
    </row>
    <row r="143" spans="1:6">
      <c r="A143" s="2">
        <v>19134</v>
      </c>
      <c r="B143" s="2" t="s">
        <v>476</v>
      </c>
    </row>
    <row r="144" spans="1:6">
      <c r="A144" s="2">
        <v>19135</v>
      </c>
      <c r="B144" s="2" t="s">
        <v>477</v>
      </c>
    </row>
    <row r="145" spans="1:6">
      <c r="A145" s="2">
        <v>19136</v>
      </c>
      <c r="B145" s="2" t="s">
        <v>478</v>
      </c>
    </row>
    <row r="146" spans="1:6">
      <c r="A146" s="2">
        <v>19137</v>
      </c>
      <c r="B146" s="2" t="s">
        <v>479</v>
      </c>
      <c r="C146" s="86">
        <v>813.25</v>
      </c>
      <c r="D146" s="86">
        <v>2150.4740000000002</v>
      </c>
      <c r="E146" s="86">
        <v>2141.4360000000001</v>
      </c>
      <c r="F146" s="86">
        <v>1675.9349999999999</v>
      </c>
    </row>
    <row r="147" spans="1:6">
      <c r="A147" s="2">
        <v>19138</v>
      </c>
      <c r="B147" s="2" t="s">
        <v>480</v>
      </c>
    </row>
    <row r="148" spans="1:6">
      <c r="A148" s="2">
        <v>19139</v>
      </c>
      <c r="B148" s="2" t="s">
        <v>481</v>
      </c>
      <c r="F148" s="87">
        <v>0.2</v>
      </c>
    </row>
    <row r="149" spans="1:6">
      <c r="A149" s="2">
        <v>19140</v>
      </c>
      <c r="B149" s="2" t="s">
        <v>482</v>
      </c>
    </row>
    <row r="150" spans="1:6">
      <c r="A150" s="2">
        <v>19141</v>
      </c>
      <c r="B150" s="2" t="s">
        <v>483</v>
      </c>
    </row>
    <row r="151" spans="1:6">
      <c r="A151" s="2">
        <v>19142</v>
      </c>
      <c r="B151" s="2" t="s">
        <v>484</v>
      </c>
    </row>
    <row r="152" spans="1:6">
      <c r="A152" s="2">
        <v>19143</v>
      </c>
      <c r="B152" s="2" t="s">
        <v>485</v>
      </c>
    </row>
    <row r="153" spans="1:6">
      <c r="A153" s="2">
        <v>19144</v>
      </c>
      <c r="B153" s="2" t="s">
        <v>486</v>
      </c>
    </row>
    <row r="154" spans="1:6">
      <c r="A154" s="2">
        <v>19145</v>
      </c>
      <c r="B154" s="2" t="s">
        <v>487</v>
      </c>
    </row>
    <row r="155" spans="1:6">
      <c r="A155" s="2">
        <v>19146</v>
      </c>
      <c r="B155" s="2" t="s">
        <v>488</v>
      </c>
    </row>
    <row r="156" spans="1:6">
      <c r="A156" s="2">
        <v>19147</v>
      </c>
      <c r="B156" s="2" t="s">
        <v>465</v>
      </c>
    </row>
    <row r="157" spans="1:6">
      <c r="A157" s="2">
        <v>19148</v>
      </c>
      <c r="B157" s="2" t="s">
        <v>466</v>
      </c>
    </row>
    <row r="158" spans="1:6">
      <c r="A158" s="2">
        <v>19149</v>
      </c>
      <c r="B158" s="2" t="s">
        <v>489</v>
      </c>
      <c r="F158" s="86">
        <v>1363.768</v>
      </c>
    </row>
    <row r="159" spans="1:6">
      <c r="A159" s="2">
        <v>19150</v>
      </c>
      <c r="B159" s="2" t="s">
        <v>490</v>
      </c>
    </row>
    <row r="160" spans="1:6">
      <c r="A160" s="2">
        <v>19151</v>
      </c>
      <c r="B160" s="2" t="s">
        <v>469</v>
      </c>
      <c r="C160" s="86">
        <v>17.969000000000001</v>
      </c>
      <c r="D160" s="87">
        <v>8.7780000000000005</v>
      </c>
      <c r="E160" s="86">
        <v>-12.153</v>
      </c>
      <c r="F160" s="87">
        <v>0.97699999999999998</v>
      </c>
    </row>
    <row r="161" spans="1:6">
      <c r="A161" s="2">
        <v>19152</v>
      </c>
      <c r="B161" s="2" t="s">
        <v>491</v>
      </c>
      <c r="C161" s="86">
        <v>-795.28099999999995</v>
      </c>
      <c r="D161" s="86">
        <v>-2141.6959999999999</v>
      </c>
      <c r="E161" s="86">
        <v>-2153.5889999999999</v>
      </c>
      <c r="F161" s="86">
        <v>-311.39</v>
      </c>
    </row>
    <row r="162" spans="1:6">
      <c r="A162" s="2">
        <v>19153</v>
      </c>
      <c r="B162" s="2" t="s">
        <v>492</v>
      </c>
    </row>
    <row r="163" spans="1:6">
      <c r="A163" s="2">
        <v>19154</v>
      </c>
      <c r="B163" s="2" t="s">
        <v>493</v>
      </c>
    </row>
    <row r="164" spans="1:6">
      <c r="A164" s="2">
        <v>19155</v>
      </c>
      <c r="B164" s="2" t="s">
        <v>494</v>
      </c>
    </row>
    <row r="165" spans="1:6">
      <c r="A165" s="2">
        <v>19156</v>
      </c>
      <c r="B165" s="2" t="s">
        <v>495</v>
      </c>
    </row>
    <row r="166" spans="1:6">
      <c r="A166" s="2">
        <v>19157</v>
      </c>
      <c r="B166" s="2" t="s">
        <v>496</v>
      </c>
    </row>
    <row r="167" spans="1:6">
      <c r="A167" s="2">
        <v>19158</v>
      </c>
      <c r="B167" s="2" t="s">
        <v>497</v>
      </c>
      <c r="C167" s="86">
        <v>197.899</v>
      </c>
      <c r="D167" s="86">
        <v>135.93299999999999</v>
      </c>
    </row>
    <row r="168" spans="1:6">
      <c r="A168" s="2">
        <v>19159</v>
      </c>
      <c r="B168" s="2" t="s">
        <v>498</v>
      </c>
    </row>
    <row r="169" spans="1:6">
      <c r="A169" s="2">
        <v>19160</v>
      </c>
      <c r="B169" s="2" t="s">
        <v>499</v>
      </c>
      <c r="C169" s="86">
        <v>11217</v>
      </c>
      <c r="E169" s="86">
        <v>10000</v>
      </c>
    </row>
    <row r="170" spans="1:6">
      <c r="A170" s="2">
        <v>19161</v>
      </c>
      <c r="B170" s="2" t="s">
        <v>500</v>
      </c>
      <c r="C170" s="86">
        <v>2500</v>
      </c>
      <c r="D170" s="86">
        <v>3578.6</v>
      </c>
      <c r="E170" s="86">
        <v>4500</v>
      </c>
      <c r="F170" s="86">
        <v>1750</v>
      </c>
    </row>
    <row r="171" spans="1:6">
      <c r="A171" s="2">
        <v>19162</v>
      </c>
      <c r="B171" s="2" t="s">
        <v>501</v>
      </c>
    </row>
    <row r="172" spans="1:6">
      <c r="A172" s="2">
        <v>19163</v>
      </c>
      <c r="B172" s="2" t="s">
        <v>502</v>
      </c>
      <c r="C172" s="86">
        <v>322.25200000000001</v>
      </c>
      <c r="D172" s="86">
        <v>358.3</v>
      </c>
      <c r="E172" s="86">
        <v>371.23399999999998</v>
      </c>
      <c r="F172" s="86">
        <v>346.37400000000002</v>
      </c>
    </row>
    <row r="173" spans="1:6">
      <c r="A173" s="2">
        <v>19164</v>
      </c>
      <c r="B173" s="2" t="s">
        <v>484</v>
      </c>
    </row>
    <row r="174" spans="1:6">
      <c r="A174" s="2">
        <v>19165</v>
      </c>
      <c r="B174" s="2" t="s">
        <v>464</v>
      </c>
      <c r="C174" s="86">
        <v>4935.732</v>
      </c>
      <c r="D174" s="86">
        <v>5296.1080000000002</v>
      </c>
      <c r="E174" s="86">
        <v>5043.2169999999996</v>
      </c>
      <c r="F174" s="86">
        <v>4981.7150000000001</v>
      </c>
    </row>
    <row r="175" spans="1:6">
      <c r="A175" s="2">
        <v>19166</v>
      </c>
      <c r="B175" s="2" t="s">
        <v>466</v>
      </c>
      <c r="C175" s="86">
        <v>1157.251</v>
      </c>
      <c r="D175" s="86">
        <v>1697.1089999999999</v>
      </c>
      <c r="E175" s="86">
        <v>1410.4770000000001</v>
      </c>
      <c r="F175" s="86">
        <v>2785.0680000000002</v>
      </c>
    </row>
    <row r="176" spans="1:6">
      <c r="A176" s="2">
        <v>19167</v>
      </c>
      <c r="B176" s="2" t="s">
        <v>503</v>
      </c>
    </row>
    <row r="177" spans="1:6">
      <c r="A177" s="2">
        <v>19168</v>
      </c>
      <c r="B177" s="2" t="s">
        <v>469</v>
      </c>
      <c r="C177" s="86">
        <v>-86.688999999999993</v>
      </c>
      <c r="F177" s="86">
        <v>34.091000000000001</v>
      </c>
    </row>
    <row r="178" spans="1:6">
      <c r="A178" s="2">
        <v>19169</v>
      </c>
      <c r="B178" s="2" t="s">
        <v>504</v>
      </c>
      <c r="C178" s="86">
        <v>2017.1769999999999</v>
      </c>
      <c r="D178" s="86">
        <v>-11066.05</v>
      </c>
      <c r="E178" s="86">
        <v>-1324.9280000000001</v>
      </c>
      <c r="F178" s="86">
        <v>-9829.0660000000007</v>
      </c>
    </row>
    <row r="179" spans="1:6">
      <c r="A179" s="2">
        <v>19170</v>
      </c>
      <c r="B179" s="2" t="s">
        <v>505</v>
      </c>
      <c r="C179" s="86">
        <v>11555.656999999999</v>
      </c>
      <c r="D179" s="86">
        <v>-6410.085</v>
      </c>
      <c r="E179" s="86">
        <v>4840.4229999999998</v>
      </c>
      <c r="F179" s="86">
        <v>2619.569</v>
      </c>
    </row>
    <row r="180" spans="1:6">
      <c r="A180" s="2">
        <v>19171</v>
      </c>
      <c r="B180" s="2" t="s">
        <v>506</v>
      </c>
    </row>
    <row r="181" spans="1:6">
      <c r="A181" s="2">
        <v>19172</v>
      </c>
      <c r="B181" s="2" t="s">
        <v>507</v>
      </c>
      <c r="C181" s="86">
        <v>189.685</v>
      </c>
      <c r="D181" s="86">
        <v>100.88</v>
      </c>
      <c r="E181" s="86">
        <v>-195.958</v>
      </c>
      <c r="F181" s="86">
        <v>-566.65200000000004</v>
      </c>
    </row>
    <row r="182" spans="1:6">
      <c r="A182" s="2">
        <v>19173</v>
      </c>
      <c r="B182" s="2" t="s">
        <v>508</v>
      </c>
      <c r="C182" s="86">
        <v>11745.342000000001</v>
      </c>
      <c r="D182" s="86">
        <v>-6309.2049999999999</v>
      </c>
      <c r="E182" s="86">
        <v>4644.4650000000001</v>
      </c>
      <c r="F182" s="86">
        <v>2052.9169999999999</v>
      </c>
    </row>
    <row r="183" spans="1:6">
      <c r="A183" s="2">
        <v>19174</v>
      </c>
      <c r="B183" s="2" t="s">
        <v>509</v>
      </c>
      <c r="C183" s="86">
        <v>6838.5559999999996</v>
      </c>
      <c r="D183" s="86">
        <v>18583.898000000001</v>
      </c>
      <c r="E183" s="86">
        <v>12274.692999999999</v>
      </c>
      <c r="F183" s="86">
        <v>16919.157999999999</v>
      </c>
    </row>
    <row r="184" spans="1:6">
      <c r="A184" s="2">
        <v>19175</v>
      </c>
      <c r="B184" s="2" t="s">
        <v>510</v>
      </c>
      <c r="C184" s="86">
        <v>18583.898000000001</v>
      </c>
      <c r="D184" s="86">
        <v>12274.692999999999</v>
      </c>
      <c r="E184" s="86">
        <v>16919.157999999999</v>
      </c>
      <c r="F184" s="86">
        <v>18972.075000000001</v>
      </c>
    </row>
    <row r="185" spans="1:6">
      <c r="A185" s="2">
        <v>40000</v>
      </c>
      <c r="B185" s="2" t="s">
        <v>511</v>
      </c>
      <c r="C185" s="86">
        <v>12457736</v>
      </c>
      <c r="D185" s="86">
        <v>10270072</v>
      </c>
      <c r="E185" s="86">
        <v>10887600</v>
      </c>
      <c r="F185" s="86">
        <v>13900377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14F38-D45E-4504-99CA-502EF7B396CB}">
  <dimension ref="A1:F69"/>
  <sheetViews>
    <sheetView zoomScale="91" workbookViewId="0">
      <selection activeCell="C5" sqref="C5:C27"/>
    </sheetView>
  </sheetViews>
  <sheetFormatPr defaultColWidth="11.42578125" defaultRowHeight="15.6"/>
  <cols>
    <col min="1" max="1" width="65.5703125" style="76" bestFit="1" customWidth="1"/>
    <col min="2" max="2" width="75" style="76" bestFit="1" customWidth="1"/>
    <col min="3" max="16384" width="11.42578125" style="76"/>
  </cols>
  <sheetData>
    <row r="1" spans="1:6" ht="25.9">
      <c r="A1" s="83" t="s">
        <v>512</v>
      </c>
    </row>
    <row r="2" spans="1:6">
      <c r="A2" s="77"/>
    </row>
    <row r="3" spans="1:6">
      <c r="A3" s="77"/>
      <c r="B3" s="84" t="s">
        <v>513</v>
      </c>
      <c r="C3" s="76">
        <v>2020</v>
      </c>
      <c r="D3" s="76">
        <v>2021</v>
      </c>
      <c r="E3" s="76">
        <v>2022</v>
      </c>
      <c r="F3" s="76">
        <v>2023</v>
      </c>
    </row>
    <row r="4" spans="1:6">
      <c r="A4" s="85" t="s">
        <v>514</v>
      </c>
    </row>
    <row r="5" spans="1:6">
      <c r="A5" s="78" t="s">
        <v>515</v>
      </c>
      <c r="B5" s="76" t="s">
        <v>516</v>
      </c>
      <c r="C5" s="88">
        <f>EF!C47/EF!C80</f>
        <v>1.8521918258992454</v>
      </c>
      <c r="D5" s="88">
        <f>EF!D47/EF!D80</f>
        <v>1.5437588966303031</v>
      </c>
      <c r="E5" s="88">
        <f>EF!E47/EF!E80</f>
        <v>1.9497537360808166</v>
      </c>
      <c r="F5" s="88">
        <f>EF!F47/EF!F80</f>
        <v>1.6667239106711582</v>
      </c>
    </row>
    <row r="6" spans="1:6">
      <c r="A6" s="78" t="s">
        <v>517</v>
      </c>
      <c r="B6" s="76" t="s">
        <v>518</v>
      </c>
      <c r="C6" s="88">
        <f>(EF!C47-EF!C42)/EF!C80</f>
        <v>1.6084957627404537</v>
      </c>
      <c r="D6" s="88">
        <f>(EF!D47-EF!D42)/EF!D80</f>
        <v>1.2511638569467747</v>
      </c>
      <c r="E6" s="88">
        <f>(EF!E47-EF!E42)/EF!E80</f>
        <v>1.6363395329962025</v>
      </c>
      <c r="F6" s="88">
        <f>(EF!F47-EF!F42)/EF!F80</f>
        <v>1.4470682525819076</v>
      </c>
    </row>
    <row r="7" spans="1:6">
      <c r="A7" s="78" t="s">
        <v>519</v>
      </c>
      <c r="B7" s="76" t="s">
        <v>520</v>
      </c>
      <c r="C7" s="88">
        <f>EF!C38/EF!C80</f>
        <v>1.1941614796117206</v>
      </c>
      <c r="D7" s="88">
        <f>EF!D38/EF!D80</f>
        <v>0.80488966801388773</v>
      </c>
      <c r="E7" s="88">
        <f>EF!E38/EF!E80</f>
        <v>1.1531865042110443</v>
      </c>
      <c r="F7" s="88">
        <f>EF!F38/EF!F80</f>
        <v>1.0130947262252088</v>
      </c>
    </row>
    <row r="8" spans="1:6">
      <c r="A8" s="78" t="s">
        <v>521</v>
      </c>
      <c r="B8" s="76" t="s">
        <v>522</v>
      </c>
      <c r="C8" s="88">
        <f>(EF!C47-EF!C80)/EF!C65</f>
        <v>0.24874150478806331</v>
      </c>
      <c r="D8" s="88">
        <f>(EF!D47-EF!D80)/EF!D65</f>
        <v>0.1699821531620454</v>
      </c>
      <c r="E8" s="88">
        <f>(EF!E47-EF!E80)/EF!E65</f>
        <v>0.2602596309120066</v>
      </c>
      <c r="F8" s="88">
        <f>(EF!F47-EF!F80)/EF!F65</f>
        <v>0.23156322629880374</v>
      </c>
    </row>
    <row r="9" spans="1:6">
      <c r="A9" s="78" t="s">
        <v>523</v>
      </c>
      <c r="B9" s="76" t="s">
        <v>524</v>
      </c>
      <c r="C9" s="88">
        <f>EF!C47/((EF!C5-EF!C20)/365)</f>
        <v>258.99553398613216</v>
      </c>
      <c r="D9" s="88">
        <f>EF!D47/((EF!D5-EF!D20)/365)</f>
        <v>202.50248142861093</v>
      </c>
      <c r="E9" s="88">
        <f>EF!E47/((EF!E5-EF!E20)/365)</f>
        <v>226.39746620918388</v>
      </c>
      <c r="F9" s="88">
        <f>EF!F47/((EF!F5-EF!F20)/365)</f>
        <v>246.08993021904601</v>
      </c>
    </row>
    <row r="10" spans="1:6">
      <c r="A10" s="85" t="s">
        <v>525</v>
      </c>
    </row>
    <row r="11" spans="1:6">
      <c r="A11" s="79" t="s">
        <v>526</v>
      </c>
      <c r="B11" s="76" t="s">
        <v>527</v>
      </c>
      <c r="C11" s="88">
        <f>EF!C6/EF!C42</f>
        <v>7.5659434178929779</v>
      </c>
      <c r="D11" s="88">
        <f>EF!D6/EF!D42</f>
        <v>6.9716383692056692</v>
      </c>
      <c r="E11" s="88">
        <f>EF!E6/EF!E42</f>
        <v>7.4554398946046661</v>
      </c>
      <c r="F11" s="88">
        <f>EF!F6/EF!F42</f>
        <v>7.9269089591023034</v>
      </c>
    </row>
    <row r="12" spans="1:6">
      <c r="A12" s="79" t="s">
        <v>528</v>
      </c>
      <c r="B12" s="76" t="s">
        <v>529</v>
      </c>
      <c r="C12" s="88">
        <f>365/C11</f>
        <v>48.24249665108492</v>
      </c>
      <c r="D12" s="88">
        <f>365/D11</f>
        <v>52.354981809188011</v>
      </c>
      <c r="E12" s="88">
        <f>365/E11</f>
        <v>48.957540421476978</v>
      </c>
      <c r="F12" s="88">
        <f>365/F11</f>
        <v>46.04569093491078</v>
      </c>
    </row>
    <row r="13" spans="1:6">
      <c r="A13" s="79" t="s">
        <v>530</v>
      </c>
      <c r="B13" s="76" t="s">
        <v>531</v>
      </c>
      <c r="C13" s="88">
        <f>EF!C5/EF!C39</f>
        <v>7.7170109556586883</v>
      </c>
      <c r="D13" s="88">
        <f>EF!D5/EF!D39</f>
        <v>6.8903436226215158</v>
      </c>
      <c r="E13" s="88">
        <f>EF!E5/EF!E39</f>
        <v>7.2065867367535503</v>
      </c>
      <c r="F13" s="88">
        <f>EF!F5/EF!F39</f>
        <v>7.4169404629162496</v>
      </c>
    </row>
    <row r="14" spans="1:6">
      <c r="A14" s="79" t="s">
        <v>532</v>
      </c>
      <c r="B14" s="76" t="s">
        <v>533</v>
      </c>
      <c r="C14" s="88">
        <f>365/C13</f>
        <v>47.298105717001057</v>
      </c>
      <c r="D14" s="88">
        <f>365/D13</f>
        <v>52.972684671585547</v>
      </c>
      <c r="E14" s="88">
        <f>365/E13</f>
        <v>50.648110309767333</v>
      </c>
      <c r="F14" s="88">
        <f>365/F13</f>
        <v>49.211666431051071</v>
      </c>
    </row>
    <row r="15" spans="1:6">
      <c r="A15" s="78" t="s">
        <v>534</v>
      </c>
      <c r="B15" s="76" t="s">
        <v>535</v>
      </c>
      <c r="C15" s="88">
        <f>EF!C5/(EF!C47-EF!C80)</f>
        <v>3.5215404630832725</v>
      </c>
      <c r="D15" s="88">
        <f>EF!D5/(EF!D47-EF!D80)</f>
        <v>5.6550477255822456</v>
      </c>
      <c r="E15" s="88">
        <f>EF!E5/(EF!E47-EF!E80)</f>
        <v>3.6639629143916714</v>
      </c>
      <c r="F15" s="88">
        <f>EF!F5/(EF!F47-EF!F80)</f>
        <v>4.2694782165752017</v>
      </c>
    </row>
    <row r="16" spans="1:6">
      <c r="A16" s="79" t="s">
        <v>536</v>
      </c>
      <c r="B16" s="76" t="s">
        <v>537</v>
      </c>
      <c r="C16" s="88">
        <f>EF!C5/EF!C64</f>
        <v>1.9068408390428855</v>
      </c>
      <c r="D16" s="88">
        <f>EF!D5/EF!D64</f>
        <v>1.8578173548659769</v>
      </c>
      <c r="E16" s="88">
        <f>EF!E5/EF!E64</f>
        <v>2.0475787362890774</v>
      </c>
      <c r="F16" s="88">
        <f>EF!F5/EF!F64</f>
        <v>2.3476681849442484</v>
      </c>
    </row>
    <row r="17" spans="1:6">
      <c r="A17" s="79" t="s">
        <v>538</v>
      </c>
      <c r="B17" s="76" t="s">
        <v>539</v>
      </c>
      <c r="C17" s="88">
        <f>EF!C5/EF!C65</f>
        <v>0.87595327395938649</v>
      </c>
      <c r="D17" s="88">
        <f>EF!D5/EF!D65</f>
        <v>0.96125718862859777</v>
      </c>
      <c r="E17" s="88">
        <f>EF!E5/EF!E65</f>
        <v>0.95358163577485644</v>
      </c>
      <c r="F17" s="88">
        <f>EF!F5/EF!F65</f>
        <v>0.9886541504426164</v>
      </c>
    </row>
    <row r="18" spans="1:6">
      <c r="A18" s="85" t="s">
        <v>540</v>
      </c>
    </row>
    <row r="19" spans="1:6">
      <c r="A19" s="79" t="s">
        <v>541</v>
      </c>
      <c r="B19" s="76" t="s">
        <v>542</v>
      </c>
      <c r="C19" s="88">
        <f>EF!C92/EF!C65</f>
        <v>0.89322620807522224</v>
      </c>
      <c r="D19" s="88">
        <f>EF!D92/EF!D65</f>
        <v>0.88267403372811304</v>
      </c>
      <c r="E19" s="88">
        <f>EF!E92/EF!E65</f>
        <v>0.9061002655553857</v>
      </c>
      <c r="F19" s="88">
        <f>EF!F92/EF!F65</f>
        <v>0.87163770182060751</v>
      </c>
    </row>
    <row r="20" spans="1:6">
      <c r="A20" s="79" t="s">
        <v>543</v>
      </c>
      <c r="B20" s="76" t="s">
        <v>544</v>
      </c>
      <c r="C20" s="88">
        <f>EF!C92/EF!C101</f>
        <v>8.365594140409474</v>
      </c>
      <c r="D20" s="88">
        <f>EF!D92/EF!D101</f>
        <v>7.5232624266876833</v>
      </c>
      <c r="E20" s="88">
        <f>EF!E92/EF!E101</f>
        <v>9.6496573809784287</v>
      </c>
      <c r="F20" s="88">
        <f>EF!F92/EF!F101</f>
        <v>6.7904494869860628</v>
      </c>
    </row>
    <row r="21" spans="1:6">
      <c r="A21" s="78" t="s">
        <v>545</v>
      </c>
      <c r="B21" s="76" t="s">
        <v>546</v>
      </c>
      <c r="C21" s="88">
        <f>EF!C65/EF!C101</f>
        <v>9.365594140409474</v>
      </c>
      <c r="D21" s="88">
        <f>EF!D65/EF!D101</f>
        <v>8.5232624266876833</v>
      </c>
      <c r="E21" s="88">
        <f>EF!E65/EF!E101</f>
        <v>10.649657380978429</v>
      </c>
      <c r="F21" s="88">
        <f>EF!F65/EF!F101</f>
        <v>7.7904494869860628</v>
      </c>
    </row>
    <row r="22" spans="1:6">
      <c r="A22" s="79" t="s">
        <v>547</v>
      </c>
      <c r="B22" s="76" t="s">
        <v>548</v>
      </c>
      <c r="C22" s="88">
        <f>EF!C91/(EF!C91+EF!C101)</f>
        <v>0.84921417801052446</v>
      </c>
      <c r="D22" s="88">
        <f>EF!D91/(EF!D91+EF!D101)</f>
        <v>0.82931779710498976</v>
      </c>
      <c r="E22" s="88">
        <f>EF!E91/(EF!E91+EF!E101)</f>
        <v>0.87065643790539105</v>
      </c>
      <c r="F22" s="88">
        <f>EF!F91/(EF!F91+EF!F101)</f>
        <v>0.80333192657709951</v>
      </c>
    </row>
    <row r="23" spans="1:6">
      <c r="A23" s="79" t="s">
        <v>549</v>
      </c>
      <c r="B23" s="76" t="s">
        <v>550</v>
      </c>
      <c r="C23" s="88">
        <f>EF!C12/EF!C14</f>
        <v>4.6571509388514567</v>
      </c>
      <c r="D23" s="88">
        <f>EF!D12/EF!D14</f>
        <v>3.7189066669992261</v>
      </c>
      <c r="E23" s="88">
        <f>EF!E12/EF!E14</f>
        <v>3.7160885457321964</v>
      </c>
      <c r="F23" s="88">
        <f>EF!F12/EF!F14</f>
        <v>4.1030912166286182</v>
      </c>
    </row>
    <row r="24" spans="1:6" hidden="1">
      <c r="A24" s="78" t="s">
        <v>551</v>
      </c>
      <c r="B24" s="76" t="s">
        <v>552</v>
      </c>
      <c r="C24" s="88"/>
      <c r="D24" s="88"/>
      <c r="E24" s="88"/>
      <c r="F24" s="88"/>
    </row>
    <row r="25" spans="1:6">
      <c r="A25" s="85" t="s">
        <v>553</v>
      </c>
      <c r="C25" s="88"/>
      <c r="D25" s="88"/>
      <c r="E25" s="88"/>
      <c r="F25" s="88"/>
    </row>
    <row r="26" spans="1:6">
      <c r="A26" s="79" t="s">
        <v>554</v>
      </c>
      <c r="B26" s="76" t="s">
        <v>555</v>
      </c>
      <c r="C26" s="88">
        <f>EF!C20/EF!C5</f>
        <v>0.1302058041583932</v>
      </c>
      <c r="D26" s="88">
        <f>EF!D20/EF!D5</f>
        <v>9.5102604145441916E-2</v>
      </c>
      <c r="E26" s="88">
        <f>EF!E20/EF!E5</f>
        <v>9.668549538156157E-2</v>
      </c>
      <c r="F26" s="88">
        <f>EF!F20/EF!F5</f>
        <v>0.13155592883868827</v>
      </c>
    </row>
    <row r="27" spans="1:6">
      <c r="A27" s="79" t="s">
        <v>556</v>
      </c>
      <c r="B27" s="76" t="s">
        <v>557</v>
      </c>
      <c r="C27" s="88">
        <f>EF!C20/EF!C65</f>
        <v>0.11405420044105923</v>
      </c>
      <c r="D27" s="88">
        <f>EF!D20/EF!D65</f>
        <v>9.1418061892105926E-2</v>
      </c>
      <c r="E27" s="88">
        <f>EF!E20/EF!E65</f>
        <v>9.2197512841651813E-2</v>
      </c>
      <c r="F27" s="88">
        <f>EF!F20/EF!F65</f>
        <v>0.13006331506170263</v>
      </c>
    </row>
    <row r="28" spans="1:6">
      <c r="A28" s="79" t="s">
        <v>558</v>
      </c>
      <c r="B28" s="76" t="s">
        <v>559</v>
      </c>
      <c r="C28" s="88">
        <f>EF!C20/EF!C101</f>
        <v>1.0681853513398718</v>
      </c>
      <c r="D28" s="88">
        <f>EF!D20/EF!D101</f>
        <v>0.77918013204559566</v>
      </c>
      <c r="E28" s="88">
        <f>EF!E20/EF!E101</f>
        <v>0.98187192314195071</v>
      </c>
      <c r="F28" s="88">
        <f>EF!F20/EF!F101</f>
        <v>1.013251686098148</v>
      </c>
    </row>
    <row r="29" spans="1:6">
      <c r="A29" s="85" t="s">
        <v>560</v>
      </c>
    </row>
    <row r="30" spans="1:6">
      <c r="A30" s="79" t="s">
        <v>561</v>
      </c>
      <c r="B30" s="76" t="s">
        <v>562</v>
      </c>
    </row>
    <row r="31" spans="1:6">
      <c r="A31" s="79" t="s">
        <v>563</v>
      </c>
      <c r="B31" s="76" t="s">
        <v>564</v>
      </c>
    </row>
    <row r="32" spans="1:6">
      <c r="A32" s="79" t="s">
        <v>565</v>
      </c>
      <c r="B32" s="76" t="s">
        <v>566</v>
      </c>
    </row>
    <row r="33" spans="1:3">
      <c r="A33" s="79" t="s">
        <v>567</v>
      </c>
      <c r="B33" s="76" t="s">
        <v>568</v>
      </c>
    </row>
    <row r="34" spans="1:3">
      <c r="A34" s="79" t="s">
        <v>569</v>
      </c>
      <c r="B34" s="76" t="s">
        <v>570</v>
      </c>
    </row>
    <row r="35" spans="1:3">
      <c r="A35" s="1"/>
    </row>
    <row r="36" spans="1:3">
      <c r="A36" s="79"/>
    </row>
    <row r="37" spans="1:3">
      <c r="A37" s="1" t="s">
        <v>571</v>
      </c>
      <c r="B37" s="76" t="s">
        <v>572</v>
      </c>
      <c r="C37" s="88">
        <f>C38+C39-C40</f>
        <v>-10.01950679345903</v>
      </c>
    </row>
    <row r="38" spans="1:3">
      <c r="A38" s="80" t="s">
        <v>573</v>
      </c>
      <c r="B38" s="76" t="s">
        <v>574</v>
      </c>
      <c r="C38" s="88">
        <f>(EF!C42*365)/EF!C6</f>
        <v>48.242496651084927</v>
      </c>
    </row>
    <row r="39" spans="1:3">
      <c r="A39" s="80" t="s">
        <v>575</v>
      </c>
      <c r="B39" s="76" t="s">
        <v>576</v>
      </c>
      <c r="C39" s="88">
        <f>(EF!C39*365)/EF!C5</f>
        <v>47.298105717001057</v>
      </c>
    </row>
    <row r="40" spans="1:3">
      <c r="A40" s="80" t="s">
        <v>577</v>
      </c>
      <c r="B40" s="76" t="s">
        <v>578</v>
      </c>
      <c r="C40" s="88">
        <f>(EF!C69*365)/EF!C6</f>
        <v>105.56010916154501</v>
      </c>
    </row>
    <row r="41" spans="1:3">
      <c r="A41" s="81"/>
    </row>
    <row r="42" spans="1:3">
      <c r="A42" s="81"/>
    </row>
    <row r="43" spans="1:3">
      <c r="A43" s="79" t="s">
        <v>579</v>
      </c>
      <c r="B43" s="76" t="s">
        <v>555</v>
      </c>
    </row>
    <row r="44" spans="1:3">
      <c r="A44" s="79" t="s">
        <v>580</v>
      </c>
      <c r="B44" s="76" t="s">
        <v>557</v>
      </c>
    </row>
    <row r="45" spans="1:3" ht="15.75" customHeight="1">
      <c r="A45" s="79" t="s">
        <v>581</v>
      </c>
      <c r="B45" s="76" t="s">
        <v>559</v>
      </c>
    </row>
    <row r="46" spans="1:3">
      <c r="A46" s="79" t="s">
        <v>582</v>
      </c>
      <c r="B46" s="76" t="s">
        <v>583</v>
      </c>
    </row>
    <row r="64" spans="1:1">
      <c r="A64" s="81"/>
    </row>
    <row r="65" spans="1:1">
      <c r="A65" s="81"/>
    </row>
    <row r="66" spans="1:1">
      <c r="A66" s="81"/>
    </row>
    <row r="67" spans="1:1">
      <c r="A67" s="81"/>
    </row>
    <row r="68" spans="1:1">
      <c r="A68" s="81"/>
    </row>
    <row r="69" spans="1:1">
      <c r="A69" s="81"/>
    </row>
  </sheetData>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r2:uid="{E7D4D8A0-1839-42DF-ADD6-E3A2348737AF}">
          <x14:colorSeries rgb="FF376092"/>
          <x14:colorNegative rgb="FFD00000"/>
          <x14:colorAxis rgb="FF000000"/>
          <x14:colorMarkers rgb="FFD00000"/>
          <x14:colorFirst rgb="FFD00000"/>
          <x14:colorLast rgb="FFD00000"/>
          <x14:colorHigh rgb="FFD00000"/>
          <x14:colorLow rgb="FFD00000"/>
          <x14:sparklines>
            <x14:sparkline>
              <xm:f>RF!C5:F5</xm:f>
              <xm:sqref>G5</xm:sqref>
            </x14:sparkline>
            <x14:sparkline>
              <xm:f>RF!C6:F6</xm:f>
              <xm:sqref>G6</xm:sqref>
            </x14:sparkline>
            <x14:sparkline>
              <xm:f>RF!C7:F7</xm:f>
              <xm:sqref>G7</xm:sqref>
            </x14:sparkline>
            <x14:sparkline>
              <xm:f>RF!C8:F8</xm:f>
              <xm:sqref>G8</xm:sqref>
            </x14:sparkline>
            <x14:sparkline>
              <xm:f>RF!C9:F9</xm:f>
              <xm:sqref>G9</xm:sqref>
            </x14:sparkline>
            <x14:sparkline>
              <xm:f>RF!C10:F10</xm:f>
              <xm:sqref>G10</xm:sqref>
            </x14:sparkline>
            <x14:sparkline>
              <xm:f>RF!C11:F11</xm:f>
              <xm:sqref>G11</xm:sqref>
            </x14:sparkline>
            <x14:sparkline>
              <xm:f>RF!C12:F12</xm:f>
              <xm:sqref>G12</xm:sqref>
            </x14:sparkline>
            <x14:sparkline>
              <xm:f>RF!C13:F13</xm:f>
              <xm:sqref>G13</xm:sqref>
            </x14:sparkline>
            <x14:sparkline>
              <xm:f>RF!C14:F14</xm:f>
              <xm:sqref>G14</xm:sqref>
            </x14:sparkline>
            <x14:sparkline>
              <xm:f>RF!C15:F15</xm:f>
              <xm:sqref>G15</xm:sqref>
            </x14:sparkline>
            <x14:sparkline>
              <xm:f>RF!C16:F16</xm:f>
              <xm:sqref>G16</xm:sqref>
            </x14:sparkline>
            <x14:sparkline>
              <xm:f>RF!C17:F17</xm:f>
              <xm:sqref>G17</xm:sqref>
            </x14:sparkline>
            <x14:sparkline>
              <xm:f>RF!C18:F18</xm:f>
              <xm:sqref>G18</xm:sqref>
            </x14:sparkline>
            <x14:sparkline>
              <xm:f>RF!C19:F19</xm:f>
              <xm:sqref>G19</xm:sqref>
            </x14:sparkline>
            <x14:sparkline>
              <xm:f>RF!C20:F20</xm:f>
              <xm:sqref>G20</xm:sqref>
            </x14:sparkline>
            <x14:sparkline>
              <xm:f>RF!C21:F21</xm:f>
              <xm:sqref>G21</xm:sqref>
            </x14:sparkline>
            <x14:sparkline>
              <xm:f>RF!C22:F22</xm:f>
              <xm:sqref>G22</xm:sqref>
            </x14:sparkline>
            <x14:sparkline>
              <xm:f>RF!C23:F23</xm:f>
              <xm:sqref>G23</xm:sqref>
            </x14:sparkline>
            <x14:sparkline>
              <xm:f>RF!C24:F24</xm:f>
              <xm:sqref>G24</xm:sqref>
            </x14:sparkline>
            <x14:sparkline>
              <xm:f>RF!C25:F25</xm:f>
              <xm:sqref>G25</xm:sqref>
            </x14:sparkline>
            <x14:sparkline>
              <xm:f>RF!C26:F26</xm:f>
              <xm:sqref>G26</xm:sqref>
            </x14:sparkline>
            <x14:sparkline>
              <xm:f>RF!C27:F27</xm:f>
              <xm:sqref>G27</xm:sqref>
            </x14:sparkline>
            <x14:sparkline>
              <xm:f>RF!C28:F28</xm:f>
              <xm:sqref>G28</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37973-44E4-4D78-847A-5B0BA63A3BB5}">
  <dimension ref="A1:S17"/>
  <sheetViews>
    <sheetView tabSelected="1" zoomScaleNormal="100" workbookViewId="0">
      <selection activeCell="A17" sqref="A17"/>
    </sheetView>
  </sheetViews>
  <sheetFormatPr defaultColWidth="11.42578125" defaultRowHeight="14.45"/>
  <sheetData>
    <row r="1" spans="1:19" s="76" customFormat="1" ht="15.6">
      <c r="M1" s="76" t="s">
        <v>584</v>
      </c>
    </row>
    <row r="2" spans="1:19" s="76" customFormat="1" ht="15.6"/>
    <row r="3" spans="1:19" s="76" customFormat="1" ht="15.6">
      <c r="A3" s="82"/>
      <c r="M3" s="76" t="s">
        <v>585</v>
      </c>
      <c r="N3" s="76" t="s">
        <v>586</v>
      </c>
      <c r="O3" s="76" t="s">
        <v>587</v>
      </c>
    </row>
    <row r="4" spans="1:19" s="76" customFormat="1" ht="15.6">
      <c r="A4" s="81"/>
    </row>
    <row r="5" spans="1:19" s="76" customFormat="1" ht="15.6">
      <c r="A5" s="81"/>
      <c r="H5" s="76" t="s">
        <v>588</v>
      </c>
      <c r="K5" s="76" t="s">
        <v>586</v>
      </c>
      <c r="O5" s="76" t="s">
        <v>589</v>
      </c>
    </row>
    <row r="6" spans="1:19" s="76" customFormat="1" ht="15.6"/>
    <row r="7" spans="1:19" s="76" customFormat="1" ht="15.6">
      <c r="F7" s="76" t="s">
        <v>590</v>
      </c>
      <c r="H7" s="76" t="s">
        <v>591</v>
      </c>
      <c r="J7" s="76" t="s">
        <v>592</v>
      </c>
      <c r="N7" s="76" t="s">
        <v>592</v>
      </c>
      <c r="P7" s="76" t="s">
        <v>593</v>
      </c>
      <c r="R7" s="76" t="s">
        <v>594</v>
      </c>
    </row>
    <row r="8" spans="1:19" s="76" customFormat="1" ht="15.6"/>
    <row r="9" spans="1:19" s="76" customFormat="1" ht="15.6">
      <c r="E9" s="76" t="s">
        <v>595</v>
      </c>
      <c r="G9" s="76" t="s">
        <v>596</v>
      </c>
      <c r="I9" s="76" t="s">
        <v>592</v>
      </c>
    </row>
    <row r="10" spans="1:19" s="76" customFormat="1" ht="15.6">
      <c r="Q10" s="76" t="s">
        <v>597</v>
      </c>
      <c r="R10" s="76" t="s">
        <v>598</v>
      </c>
      <c r="S10" s="76" t="s">
        <v>599</v>
      </c>
    </row>
    <row r="11" spans="1:19" s="76" customFormat="1" ht="15.6">
      <c r="D11" s="76" t="s">
        <v>600</v>
      </c>
      <c r="G11" s="76" t="s">
        <v>601</v>
      </c>
      <c r="H11" s="76" t="s">
        <v>602</v>
      </c>
    </row>
    <row r="12" spans="1:19" s="76" customFormat="1" ht="15.6">
      <c r="A12" s="81"/>
      <c r="S12" s="76" t="s">
        <v>603</v>
      </c>
    </row>
    <row r="13" spans="1:19" s="76" customFormat="1" ht="15.6">
      <c r="A13" s="81"/>
      <c r="D13" s="76" t="s">
        <v>604</v>
      </c>
      <c r="H13" s="76" t="s">
        <v>605</v>
      </c>
    </row>
    <row r="14" spans="1:19" s="76" customFormat="1" ht="15.6">
      <c r="A14" s="81"/>
      <c r="S14" s="76" t="s">
        <v>606</v>
      </c>
    </row>
    <row r="15" spans="1:19" s="76" customFormat="1" ht="15.6">
      <c r="A15" s="81"/>
      <c r="H15" s="76" t="s">
        <v>607</v>
      </c>
    </row>
    <row r="16" spans="1:19" s="76" customFormat="1" ht="15.6">
      <c r="A16" s="81"/>
      <c r="S16" s="76" t="s">
        <v>608</v>
      </c>
    </row>
    <row r="17" spans="1:1" s="76" customFormat="1" ht="15.6">
      <c r="A17" s="8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3A230589574DC40A89F2CA08ABBD6FA" ma:contentTypeVersion="3" ma:contentTypeDescription="Create a new document." ma:contentTypeScope="" ma:versionID="ff0ba848ce1a4f77051ace79e30aeb93">
  <xsd:schema xmlns:xsd="http://www.w3.org/2001/XMLSchema" xmlns:xs="http://www.w3.org/2001/XMLSchema" xmlns:p="http://schemas.microsoft.com/office/2006/metadata/properties" xmlns:ns2="a8f050cc-d19f-4730-a7f1-25565aba20b6" targetNamespace="http://schemas.microsoft.com/office/2006/metadata/properties" ma:root="true" ma:fieldsID="638dc41c20f0cdf731c2cfb77e1af44e" ns2:_="">
    <xsd:import namespace="a8f050cc-d19f-4730-a7f1-25565aba20b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f050cc-d19f-4730-a7f1-25565aba20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7E06D5-44EE-418D-A28E-16810B0C7EBC}"/>
</file>

<file path=customXml/itemProps2.xml><?xml version="1.0" encoding="utf-8"?>
<ds:datastoreItem xmlns:ds="http://schemas.openxmlformats.org/officeDocument/2006/customXml" ds:itemID="{F52E93AF-1B4F-45FC-81D3-8AA47335C0D6}"/>
</file>

<file path=customXml/itemProps3.xml><?xml version="1.0" encoding="utf-8"?>
<ds:datastoreItem xmlns:ds="http://schemas.openxmlformats.org/officeDocument/2006/customXml" ds:itemID="{08D60492-B245-469F-BFCD-C28D9654AD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MIGUEL ALVAREZ ESQUIVEL</cp:lastModifiedBy>
  <cp:revision/>
  <dcterms:created xsi:type="dcterms:W3CDTF">2021-06-23T01:07:30Z</dcterms:created>
  <dcterms:modified xsi:type="dcterms:W3CDTF">2026-04-21T23:52:12Z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0x010100D3A230589574DC40A89F2CA08ABBD6FA</vt:lpwstr>
  </property>
</Properties>
</file>